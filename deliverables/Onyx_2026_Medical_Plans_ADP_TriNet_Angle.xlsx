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lan Design" sheetId="2" state="visible" r:id="rId4"/>
    <sheet name="Cost by Tier" sheetId="3" state="visible" r:id="rId5"/>
    <sheet name="Onyx Total Cost" sheetId="4" state="visible" r:id="rId6"/>
    <sheet name="By Employee" sheetId="5" state="visible" r:id="rId7"/>
  </sheets>
  <definedNames>
    <definedName function="false" hidden="true" localSheetId="4" name="_xlnm._FilterDatabase" vbProcedure="false">'By Employee'!$A$4:$N$154</definedName>
    <definedName function="false" hidden="true" localSheetId="2" name="_xlnm._FilterDatabase" vbProcedure="false">'Cost by Tier'!$A$4:$Q$124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<sst xmlns="http://schemas.openxmlformats.org/spreadsheetml/2006/main" count="2040" uniqueCount="243">
  <si>
    <t xml:space="preserve">Onyx Accounting Group, LLC - 2026 Medical Plan Comparison</t>
  </si>
  <si>
    <t xml:space="preserve">All plans offered by ADP TotalSource, TriNet and Angle Health / CapFi.  Medical effective 10/1/2026.  Dental, vision, life and disability are priced separately and are NOT in this workbook.</t>
  </si>
  <si>
    <t xml:space="preserve">LEGEND</t>
  </si>
  <si>
    <t xml:space="preserve">Blue text = hardcoded input taken from a vendor document or from Josephine.  These are the only cells to edit.</t>
  </si>
  <si>
    <t xml:space="preserve">Black text = formula.  Recalculates from the blue inputs.</t>
  </si>
  <si>
    <t xml:space="preserve">Green text = link to another tab in this workbook.</t>
  </si>
  <si>
    <t xml:space="preserve">1.  ONYX EMPLOYER CONTRIBUTION TARGET  (fixed dollars, medical only)</t>
  </si>
  <si>
    <t xml:space="preserve">Tier</t>
  </si>
  <si>
    <t xml:space="preserve">Code</t>
  </si>
  <si>
    <t xml:space="preserve">Onyx target $/mo</t>
  </si>
  <si>
    <t xml:space="preserve">Onyx target $/yr</t>
  </si>
  <si>
    <t xml:space="preserve">Notes</t>
  </si>
  <si>
    <t xml:space="preserve">Employee only</t>
  </si>
  <si>
    <t xml:space="preserve">EE</t>
  </si>
  <si>
    <t xml:space="preserve">Set by Onyx.  Applies to Lisa.</t>
  </si>
  <si>
    <t xml:space="preserve">Employee + spouse</t>
  </si>
  <si>
    <t xml:space="preserve">ES</t>
  </si>
  <si>
    <t xml:space="preserve">Set by Onyx.  Applies to Christine.</t>
  </si>
  <si>
    <t xml:space="preserve">Employee + child(ren)</t>
  </si>
  <si>
    <t xml:space="preserve">EC</t>
  </si>
  <si>
    <t xml:space="preserve">ASSUMPTION - no target was stated for this tier and nobody occupies it today.  Defaulted to the employee+spouse figure.  Change if wrong.</t>
  </si>
  <si>
    <t xml:space="preserve">Family</t>
  </si>
  <si>
    <t xml:space="preserve">FAM</t>
  </si>
  <si>
    <t xml:space="preserve">Set by Onyx.  Applies to Steven and Jessica.</t>
  </si>
  <si>
    <t xml:space="preserve">Target cost at current enrollment (4 enrolled)</t>
  </si>
  <si>
    <t xml:space="preserve">2.  VENDOR EMPLOYER CONTRIBUTION FLOORS  (minimum Onyx must pay per enrolled employee, applied flat to every tier)</t>
  </si>
  <si>
    <t xml:space="preserve">Vendor</t>
  </si>
  <si>
    <t xml:space="preserve">% required</t>
  </si>
  <si>
    <t xml:space="preserve">Reference plan employee-only premium</t>
  </si>
  <si>
    <t xml:space="preserve">Floor $/mo per enrolled EE</t>
  </si>
  <si>
    <t xml:space="preserve">Reference plan</t>
  </si>
  <si>
    <t xml:space="preserve">Source / status</t>
  </si>
  <si>
    <t xml:space="preserve">ADP</t>
  </si>
  <si>
    <t xml:space="preserve">OA EPO 8000-80% ValueINT</t>
  </si>
  <si>
    <t xml:space="preserve">Stated in writing: 50% of the lowest-cost plan, employee-only rate.</t>
  </si>
  <si>
    <t xml:space="preserve">TriNet</t>
  </si>
  <si>
    <t xml:space="preserve">Aetna ACO 6500 AZ</t>
  </si>
  <si>
    <t xml:space="preserve">CONFIRMED by TriNet: 70% of the minimum funding on the lowest-cost plan offered.  Our derivation was right and reconciles to the penny on both carriers quoted.  Keyed to the ACO 6500's $385 employee-only rate.</t>
  </si>
  <si>
    <t xml:space="preserve">Angle</t>
  </si>
  <si>
    <t xml:space="preserve">ANG HDHP 3400/5000</t>
  </si>
  <si>
    <t xml:space="preserve">Level-funded minimum participation funding; 50% of the lowest employee-only rate.</t>
  </si>
  <si>
    <t xml:space="preserve">The floor only bites where it exceeds the tier target.  At Onyx's targets it never does - every floor here is below $300 - so Onyx's stated dollars govern on all three vendors.</t>
  </si>
  <si>
    <t xml:space="preserve">Insperity is NOT in this workbook.  Its floor mechanic is different (75% of a designated Base Plan's employee-only rate: $509.76 Saver / $646.90 Select) and it exceeds every tier target, so it cannot be compared on the same grid.</t>
  </si>
  <si>
    <t xml:space="preserve">3.  ENROLLMENT USED FOR THE TOTAL-COST TAB</t>
  </si>
  <si>
    <t xml:space="preserve">Employee</t>
  </si>
  <si>
    <t xml:space="preserve">Annual pay</t>
  </si>
  <si>
    <t xml:space="preserve">Medical tier</t>
  </si>
  <si>
    <t xml:space="preserve">Enrolling?</t>
  </si>
  <si>
    <t xml:space="preserve">Note</t>
  </si>
  <si>
    <t xml:space="preserve">Steven Nikolov</t>
  </si>
  <si>
    <t xml:space="preserve">Yes</t>
  </si>
  <si>
    <t xml:space="preserve">100% owner.  &gt;2% S-corp shareholder - premiums cannot run pretax through the cafeteria plan (IRC 1372).  Whether he enrolls is still open; worth $12,000/yr of Onyx cost.</t>
  </si>
  <si>
    <t xml:space="preserve">Lisa Danforth</t>
  </si>
  <si>
    <t xml:space="preserve">Jessica B.</t>
  </si>
  <si>
    <t xml:space="preserve">New hire.</t>
  </si>
  <si>
    <t xml:space="preserve">Christine Johnson</t>
  </si>
  <si>
    <t xml:space="preserve">Josephine Mack</t>
  </si>
  <si>
    <t xml:space="preserve">No</t>
  </si>
  <si>
    <t xml:space="preserve">Waiving medical, dental and vision.  Shown for reference only - if she enrolled it would be family coverage, +$12,000/yr to Onyx at every vendor.</t>
  </si>
  <si>
    <t xml:space="preserve">Elena Nikolov is not on payroll and is not an enrollee.</t>
  </si>
  <si>
    <t xml:space="preserve">4.  HOW EACH COLUMN IS CALCULATED</t>
  </si>
  <si>
    <t xml:space="preserve">Item</t>
  </si>
  <si>
    <t xml:space="preserve">Treatment</t>
  </si>
  <si>
    <t xml:space="preserve">Onyx pays $/mo</t>
  </si>
  <si>
    <t xml:space="preserve">Formula: MIN(premium, MAX(tier target, vendor floor)).  The MIN stops Onyx from being shown as paying more than the premium; it does not bind on any plan here.</t>
  </si>
  <si>
    <t xml:space="preserve">Employee pays $/mo</t>
  </si>
  <si>
    <t xml:space="preserve">Formula: premium minus Onyx pays.  This is the payroll deduction.</t>
  </si>
  <si>
    <t xml:space="preserve">Worst case, employee</t>
  </si>
  <si>
    <t xml:space="preserve">Formula: employee annual premium plus the household out-of-pocket maximum for that tier.  Premiums never count toward an out-of-pocket maximum, so the two add without overlapping.  Employee-only rows use the individual OOP max; all other tiers use the family OOP max.</t>
  </si>
  <si>
    <t xml:space="preserve">Out-of-pocket maximum</t>
  </si>
  <si>
    <t xml:space="preserve">In-network only.  Every plan here covers preventive care at 100% before the deductible, so the worst case assumes a full year of non-preventive claims.</t>
  </si>
  <si>
    <t xml:space="preserve">Coinsurance</t>
  </si>
  <si>
    <t xml:space="preserve">Shown as the share the PLAN pays after the deductible.  100% means the plan pays everything after the deductible is met.  Aetna's own documents state the member's share; those were converted.</t>
  </si>
  <si>
    <t xml:space="preserve">'ded' / 'd' on a copay</t>
  </si>
  <si>
    <t xml:space="preserve">That copay or coinsurance applies only AFTER the deductible is satisfied.</t>
  </si>
  <si>
    <t xml:space="preserve">HSA-eligible</t>
  </si>
  <si>
    <t xml:space="preserve">Y only where the plan is designated an HDHP and charges no non-preventive copay before the deductible.  HSA contributions are deliberately NOT modeled - Onyx cannot know what any employee will choose to fund, so a plan's true cost to an employee with an HSA is lower than the worst case shown.</t>
  </si>
  <si>
    <t xml:space="preserve">Premiums</t>
  </si>
  <si>
    <t xml:space="preserve">Composite rates as quoted for Onyx's actual census.  Quote IDs: TriNet Q-00412887, Angle 400798.  ADP rates from the TotalSource 2026 renewal deck.</t>
  </si>
  <si>
    <t xml:space="preserve">Not modeled</t>
  </si>
  <si>
    <t xml:space="preserve">Admin fees, workers' compensation, setup fees, dental, vision, life and disability.  Those sit in the employer-only cost table in the Steven report, not here.  This workbook is medical premium only.</t>
  </si>
  <si>
    <t xml:space="preserve">5.  OPEN ITEMS THAT COULD MOVE THESE NUMBERS</t>
  </si>
  <si>
    <t xml:space="preserve">•  TriNet says TWELVE plans are available; the strategy appendix we were given lists the SIXTEEN Aetna rungs in this workbook.  Which four are unavailable is unknown, so all sixteen are kept here.  It matters only if the ACO 6500 is not among the twelve - the $269.50 floor is keyed to its $385 rate, and dropping the four cheapest would push the floor to $364.00, above the $300 employee-only target.</t>
  </si>
  <si>
    <t xml:space="preserve">•  TriNet has confirmed its service fee is the $1,200/month minimum ($14,400/yr), its workers' compensation is $300, basic life at $10,000 is $67, and nothing else is required - no dental, no vision, and long-term disability is optional.</t>
  </si>
  <si>
    <t xml:space="preserve">•  TriNet allows different funding tiers by class, so Onyx could fund Steven at 100% while holding others at the fixed dollars.  Not modeled here - this workbook applies the stated tier targets uniformly.</t>
  </si>
  <si>
    <t xml:space="preserve">•  Whether Steven enrolls.  Family coverage for him is roughly $12,000/yr of Onyx contribution.</t>
  </si>
  <si>
    <t xml:space="preserve">•  No contribution target has been set for employee + child(ren).  Defaulted to $600.</t>
  </si>
  <si>
    <t xml:space="preserve">•  Angle's renewal exposure.  Level-funded; a 40% increase at renewal is considered likely.</t>
  </si>
  <si>
    <t xml:space="preserve">•  Renewal anchoring differs by vendor: TriNet holds 10/1 in perpetuity, ADP re-rates in June, Insperity renews on the anniversary.  Angle is level-funded and re-underwrites.</t>
  </si>
  <si>
    <t xml:space="preserve">Plan design - all 30 plans</t>
  </si>
  <si>
    <t xml:space="preserve">Monthly premiums are composite rates quoted for Onyx's census.  Coinsurance is the share the PLAN pays after the deductible.  'ded' or 'd' means the copay applies only after the deductible.</t>
  </si>
  <si>
    <t xml:space="preserve">Monthly premium by tier</t>
  </si>
  <si>
    <t xml:space="preserve">Plan</t>
  </si>
  <si>
    <t xml:space="preserve">Key</t>
  </si>
  <si>
    <t xml:space="preserve">Network</t>
  </si>
  <si>
    <t xml:space="preserve">HSA</t>
  </si>
  <si>
    <t xml:space="preserve">Ded individual</t>
  </si>
  <si>
    <t xml:space="preserve">Ded family</t>
  </si>
  <si>
    <t xml:space="preserve">OOP max individual</t>
  </si>
  <si>
    <t xml:space="preserve">OOP max family</t>
  </si>
  <si>
    <t xml:space="preserve">Coins (plan pays)</t>
  </si>
  <si>
    <t xml:space="preserve">PCP visit</t>
  </si>
  <si>
    <t xml:space="preserve">Specialist</t>
  </si>
  <si>
    <t xml:space="preserve">Rx generic / preferred / non-preferred</t>
  </si>
  <si>
    <t xml:space="preserve">Emergency room</t>
  </si>
  <si>
    <t xml:space="preserve">EPO HDHP 2000-100Copay TIF</t>
  </si>
  <si>
    <t xml:space="preserve">ADP|EPO HDHP 2000-100Copay TIF</t>
  </si>
  <si>
    <t xml:space="preserve">Aetna EPO - no out-of-network</t>
  </si>
  <si>
    <t xml:space="preserve">Y</t>
  </si>
  <si>
    <t xml:space="preserve">ded then $30</t>
  </si>
  <si>
    <t xml:space="preserve">ded then $60</t>
  </si>
  <si>
    <t xml:space="preserve">$10d / $45d / $70d</t>
  </si>
  <si>
    <t xml:space="preserve">ded + $350</t>
  </si>
  <si>
    <t xml:space="preserve">EPO HDHP 2500-100Copay TIF</t>
  </si>
  <si>
    <t xml:space="preserve">ADP|EPO HDHP 2500-100Copay TIF</t>
  </si>
  <si>
    <t xml:space="preserve">NATIONAL OA MC 500-80%</t>
  </si>
  <si>
    <t xml:space="preserve">ADP|NATIONAL OA MC 500-80%</t>
  </si>
  <si>
    <t xml:space="preserve">Aetna National OA Managed Choice - OON covered</t>
  </si>
  <si>
    <t xml:space="preserve">N</t>
  </si>
  <si>
    <t xml:space="preserve">$25</t>
  </si>
  <si>
    <t xml:space="preserve">$50</t>
  </si>
  <si>
    <t xml:space="preserve">$10 / $45 / $70</t>
  </si>
  <si>
    <t xml:space="preserve">$350</t>
  </si>
  <si>
    <t xml:space="preserve">NATIONAL OA MC 1000-80%</t>
  </si>
  <si>
    <t xml:space="preserve">ADP|NATIONAL OA MC 1000-80%</t>
  </si>
  <si>
    <t xml:space="preserve">$500</t>
  </si>
  <si>
    <t xml:space="preserve">OA EPO HDHP 3500-80%</t>
  </si>
  <si>
    <t xml:space="preserve">ADP|OA EPO HDHP 3500-80%</t>
  </si>
  <si>
    <t xml:space="preserve">Aetna OA EPO - no out-of-network</t>
  </si>
  <si>
    <t xml:space="preserve">20% ded</t>
  </si>
  <si>
    <t xml:space="preserve">ded + 20%</t>
  </si>
  <si>
    <t xml:space="preserve">OA EPO 500-80%</t>
  </si>
  <si>
    <t xml:space="preserve">ADP|OA EPO 500-80%</t>
  </si>
  <si>
    <t xml:space="preserve">OA EPO 1000-80%</t>
  </si>
  <si>
    <t xml:space="preserve">ADP|OA EPO 1000-80%</t>
  </si>
  <si>
    <t xml:space="preserve">OA EPO 1500-100%</t>
  </si>
  <si>
    <t xml:space="preserve">ADP|OA EPO 1500-100%</t>
  </si>
  <si>
    <t xml:space="preserve">$30</t>
  </si>
  <si>
    <t xml:space="preserve">$60</t>
  </si>
  <si>
    <t xml:space="preserve">OA EPO HDHP 6000-80%</t>
  </si>
  <si>
    <t xml:space="preserve">ADP|OA EPO HDHP 6000-80%</t>
  </si>
  <si>
    <t xml:space="preserve">OA EPO 3000-80%</t>
  </si>
  <si>
    <t xml:space="preserve">ADP|OA EPO 3000-80%</t>
  </si>
  <si>
    <t xml:space="preserve">$10 / $50 / $80</t>
  </si>
  <si>
    <t xml:space="preserve">ADP|OA EPO 8000-80% ValueINT</t>
  </si>
  <si>
    <t xml:space="preserve">$10</t>
  </si>
  <si>
    <t xml:space="preserve">$110</t>
  </si>
  <si>
    <t xml:space="preserve">$10 / $50d / $90d</t>
  </si>
  <si>
    <t xml:space="preserve">TriNet|Aetna ACO 6500 AZ</t>
  </si>
  <si>
    <t xml:space="preserve">Banner Health Network</t>
  </si>
  <si>
    <t xml:space="preserve">$65</t>
  </si>
  <si>
    <t xml:space="preserve">$10 / $45 / $80</t>
  </si>
  <si>
    <t xml:space="preserve">0% ded</t>
  </si>
  <si>
    <t xml:space="preserve">Aetna PPO 7150</t>
  </si>
  <si>
    <t xml:space="preserve">TriNet|Aetna PPO 7150</t>
  </si>
  <si>
    <t xml:space="preserve">Aetna Managed Choice POS (Open Access)</t>
  </si>
  <si>
    <t xml:space="preserve">$40</t>
  </si>
  <si>
    <t xml:space="preserve">$40 ded</t>
  </si>
  <si>
    <t xml:space="preserve">$15 / $55 / $90</t>
  </si>
  <si>
    <t xml:space="preserve">Aetna HDHP 6350</t>
  </si>
  <si>
    <t xml:space="preserve">TriNet|Aetna HDHP 6350</t>
  </si>
  <si>
    <t xml:space="preserve">0% ded (all tiers)</t>
  </si>
  <si>
    <t xml:space="preserve">Aetna HDHP 4000</t>
  </si>
  <si>
    <t xml:space="preserve">TriNet|Aetna HDHP 4000</t>
  </si>
  <si>
    <t xml:space="preserve">Aetna ACO 2500 AZ</t>
  </si>
  <si>
    <t xml:space="preserve">TriNet|Aetna ACO 2500 AZ</t>
  </si>
  <si>
    <t xml:space="preserve">Aetna PPO 5000</t>
  </si>
  <si>
    <t xml:space="preserve">TriNet|Aetna PPO 5000</t>
  </si>
  <si>
    <t xml:space="preserve">$80</t>
  </si>
  <si>
    <t xml:space="preserve">$350 ded</t>
  </si>
  <si>
    <t xml:space="preserve">Aetna EPO 2000</t>
  </si>
  <si>
    <t xml:space="preserve">TriNet|Aetna EPO 2000</t>
  </si>
  <si>
    <t xml:space="preserve">Aetna Elect Choice EPO - no out-of-network</t>
  </si>
  <si>
    <t xml:space="preserve">$35</t>
  </si>
  <si>
    <t xml:space="preserve">$70</t>
  </si>
  <si>
    <t xml:space="preserve">Aetna ACO 1000 AZ</t>
  </si>
  <si>
    <t xml:space="preserve">TriNet|Aetna ACO 1000 AZ</t>
  </si>
  <si>
    <t xml:space="preserve">Aetna PPO 3000</t>
  </si>
  <si>
    <t xml:space="preserve">TriNet|Aetna PPO 3000</t>
  </si>
  <si>
    <t xml:space="preserve">Aetna PPO 2000</t>
  </si>
  <si>
    <t xml:space="preserve">TriNet|Aetna PPO 2000</t>
  </si>
  <si>
    <t xml:space="preserve">Aetna EPO 1000</t>
  </si>
  <si>
    <t xml:space="preserve">TriNet|Aetna EPO 1000</t>
  </si>
  <si>
    <t xml:space="preserve">Aetna PPO 1000</t>
  </si>
  <si>
    <t xml:space="preserve">TriNet|Aetna PPO 1000</t>
  </si>
  <si>
    <t xml:space="preserve">Aetna HDHP 2000</t>
  </si>
  <si>
    <t xml:space="preserve">TriNet|Aetna HDHP 2000</t>
  </si>
  <si>
    <t xml:space="preserve">$30 ded</t>
  </si>
  <si>
    <t xml:space="preserve">$60 ded</t>
  </si>
  <si>
    <t xml:space="preserve">Aetna PPO 750</t>
  </si>
  <si>
    <t xml:space="preserve">TriNet|Aetna PPO 750</t>
  </si>
  <si>
    <t xml:space="preserve">Aetna EPO 0</t>
  </si>
  <si>
    <t xml:space="preserve">TriNet|Aetna EPO 0</t>
  </si>
  <si>
    <t xml:space="preserve">$20</t>
  </si>
  <si>
    <t xml:space="preserve">Aetna PPO 300</t>
  </si>
  <si>
    <t xml:space="preserve">TriNet|Aetna PPO 300</t>
  </si>
  <si>
    <t xml:space="preserve">Angle|ANG HDHP 3400/5000</t>
  </si>
  <si>
    <t xml:space="preserve">Cigna PPO (OON 50% after separate ded)</t>
  </si>
  <si>
    <t xml:space="preserve">20% ded (all tiers)</t>
  </si>
  <si>
    <t xml:space="preserve">ANG TRAD 2000/4000</t>
  </si>
  <si>
    <t xml:space="preserve">Angle|ANG TRAD 2000/4000</t>
  </si>
  <si>
    <t xml:space="preserve">$20 / $60</t>
  </si>
  <si>
    <t xml:space="preserve">$250</t>
  </si>
  <si>
    <t xml:space="preserve">ANG TRAD 1000/2000</t>
  </si>
  <si>
    <t xml:space="preserve">Angle|ANG TRAD 1000/2000</t>
  </si>
  <si>
    <t xml:space="preserve">$10 / $30</t>
  </si>
  <si>
    <t xml:space="preserve">$200</t>
  </si>
  <si>
    <t xml:space="preserve">Every cell above is a hardcoded input transcribed from the vendor's own document.  Sources: ADP TotalSource 2026 renewal deck pp.6-8; TriNet quote Q-00412887 strategy appendix pp.13-15; Angle Health / CapFi presentation quote 400798.</t>
  </si>
  <si>
    <t xml:space="preserve">Angle out-of-network: 50% coinsurance after a separate out-of-network deductible.  ADP EPO plans have no out-of-network benefit at all except emergencies.</t>
  </si>
  <si>
    <t xml:space="preserve">What each plan costs Onyx and the employee, by tier</t>
  </si>
  <si>
    <t xml:space="preserve">One row per plan per tier.  Onyx pays the greater of its tier target and the vendor's floor, never more than the premium.  Worst case = the employee's annual premium plus the household out-of-pocket maximum.</t>
  </si>
  <si>
    <t xml:space="preserve">Monthly premium</t>
  </si>
  <si>
    <t xml:space="preserve">Onyx tier target $/mo</t>
  </si>
  <si>
    <t xml:space="preserve">Vendor floor $/mo</t>
  </si>
  <si>
    <t xml:space="preserve">Onyx pays $/yr</t>
  </si>
  <si>
    <t xml:space="preserve">Employee pays $/yr</t>
  </si>
  <si>
    <t xml:space="preserve">Onyx share of premium</t>
  </si>
  <si>
    <t xml:space="preserve">Deductible (this tier)</t>
  </si>
  <si>
    <t xml:space="preserve">OOP max (this tier)</t>
  </si>
  <si>
    <t xml:space="preserve">Worst case to employee $/yr</t>
  </si>
  <si>
    <t xml:space="preserve">Row key</t>
  </si>
  <si>
    <t xml:space="preserve">Worst case is the true ceiling for that household in one plan year: it assumes the family hits the in-network out-of-pocket maximum in full.  It does not include out-of-network care, balance billing, or anything the plan excludes.</t>
  </si>
  <si>
    <t xml:space="preserve">HSA funding is not modeled.  On an HSA-eligible plan an employee can pay part of that worst case with pretax dollars, so the real cost is lower - but by an amount only the employee controls.</t>
  </si>
  <si>
    <t xml:space="preserve">Total cost at Onyx's actual enrollment, one plan at a time</t>
  </si>
  <si>
    <t xml:space="preserve">Assumes all four enrollees take the same plan: Steven family, Jessica family, Lisa employee only, Christine employee + spouse.  Combined worst case assumes every household hits its out-of-pocket maximum in the same year - a ceiling, not a forecast.</t>
  </si>
  <si>
    <t xml:space="preserve">Onyx $/mo</t>
  </si>
  <si>
    <t xml:space="preserve">Onyx $/yr</t>
  </si>
  <si>
    <t xml:space="preserve">Employees $/mo (all 4)</t>
  </si>
  <si>
    <t xml:space="preserve">Employees $/yr (all 4)</t>
  </si>
  <si>
    <t xml:space="preserve">Onyx + employees $/yr</t>
  </si>
  <si>
    <t xml:space="preserve">Combined worst case $/yr</t>
  </si>
  <si>
    <t xml:space="preserve">Onyx variance vs $34,800 target</t>
  </si>
  <si>
    <t xml:space="preserve">Onyx's cost is flat across every plan within a vendor, because the contribution is a fixed dollar amount and no vendor's floor exceeds it.  Choosing a richer plan costs Onyx nothing extra and costs the employee the whole difference.</t>
  </si>
  <si>
    <t xml:space="preserve">Medical premium only.  Admin fees, workers' compensation, setup fees, dental, vision, life and disability are excluded - see the Steven report for employer-only all-in cost.</t>
  </si>
  <si>
    <t xml:space="preserve">Every plan, priced for each Onyx enrollee</t>
  </si>
  <si>
    <t xml:space="preserve">Josephine is included for reference at family coverage even though she is waiving.  Steven's enrollment is still undecided.</t>
  </si>
  <si>
    <t xml:space="preserve">Employee $/mo</t>
  </si>
  <si>
    <t xml:space="preserve">Employee $/yr</t>
  </si>
  <si>
    <t xml:space="preserve">Deductible</t>
  </si>
  <si>
    <t xml:space="preserve">OOP max</t>
  </si>
  <si>
    <t xml:space="preserve">Worst case $/yr</t>
  </si>
  <si>
    <t xml:space="preserve">Josephine Mack (waiving)</t>
  </si>
  <si>
    <t xml:space="preserve">Sorted by employee, then in the order the vendor lists its plans.  Use the filter on row 4 to isolate one person or one vendor.</t>
  </si>
</sst>
</file>

<file path=xl/styles.xml><?xml version="1.0" encoding="utf-8"?>
<styleSheet xmlns="http://schemas.openxmlformats.org/spreadsheetml/2006/main">
  <numFmts count="5">
    <numFmt numFmtId="164" formatCode="General"/>
    <numFmt numFmtId="165" formatCode="\$#,##0.00;&quot;($&quot;#,##0.00\);\-"/>
    <numFmt numFmtId="166" formatCode="\$#,##0;&quot;($&quot;#,##0\);\-"/>
    <numFmt numFmtId="167" formatCode="0.0%"/>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color rgb="FF0000FF"/>
      <name val="Arial"/>
      <family val="0"/>
      <charset val="1"/>
    </font>
    <font>
      <sz val="10"/>
      <name val="Arial"/>
      <family val="0"/>
      <charset val="1"/>
    </font>
    <font>
      <sz val="10"/>
      <color rgb="FF008000"/>
      <name val="Arial"/>
      <family val="0"/>
      <charset val="1"/>
    </font>
    <font>
      <b val="true"/>
      <sz val="11"/>
      <color rgb="FF1D5B72"/>
      <name val="Arial"/>
      <family val="0"/>
      <charset val="1"/>
    </font>
    <font>
      <b val="true"/>
      <sz val="9"/>
      <color rgb="FFFFFFFF"/>
      <name val="Arial"/>
      <family val="0"/>
      <charset val="1"/>
    </font>
    <font>
      <b val="true"/>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D5B72"/>
        <bgColor rgb="FF008080"/>
      </patternFill>
    </fill>
    <fill>
      <patternFill patternType="solid">
        <fgColor rgb="FFEFF3F5"/>
        <bgColor rgb="FFFFFFFF"/>
      </patternFill>
    </fill>
  </fills>
  <borders count="3">
    <border diagonalUp="false" diagonalDown="false">
      <left/>
      <right/>
      <top/>
      <bottom/>
      <diagonal/>
    </border>
    <border diagonalUp="false" diagonalDown="false">
      <left/>
      <right/>
      <top/>
      <bottom style="thin">
        <color rgb="FF1D5B72"/>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7" fillId="2"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7" fillId="2"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7" fillId="0" borderId="2"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8" fontId="7" fillId="0" borderId="2" xfId="0" applyFont="true" applyBorder="true" applyAlignment="true" applyProtection="false">
      <alignment horizontal="center"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true" applyProtection="false">
      <alignment horizontal="center" vertical="bottom" textRotation="0" wrapText="false" indent="0" shrinkToFit="false"/>
      <protection locked="true" hidden="false"/>
    </xf>
    <xf numFmtId="166" fontId="7" fillId="4" borderId="2" xfId="0" applyFont="true" applyBorder="true" applyAlignment="false" applyProtection="false">
      <alignment horizontal="general" vertical="bottom" textRotation="0" wrapText="false" indent="0" shrinkToFit="false"/>
      <protection locked="true" hidden="false"/>
    </xf>
    <xf numFmtId="168" fontId="7" fillId="4" borderId="2" xfId="0" applyFont="true" applyBorder="true" applyAlignment="true" applyProtection="false">
      <alignment horizontal="center" vertical="bottom" textRotation="0" wrapText="false" indent="0" shrinkToFit="false"/>
      <protection locked="true" hidden="false"/>
    </xf>
    <xf numFmtId="165" fontId="7" fillId="4"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9" fillId="4" borderId="2" xfId="0" applyFont="true" applyBorder="true" applyAlignment="true" applyProtection="false">
      <alignment horizontal="center" vertical="bottom" textRotation="0" wrapText="false" indent="0" shrinkToFit="false"/>
      <protection locked="true" hidden="false"/>
    </xf>
    <xf numFmtId="165" fontId="9" fillId="4" borderId="2" xfId="0" applyFont="true" applyBorder="true" applyAlignment="false" applyProtection="false">
      <alignment horizontal="general" vertical="bottom" textRotation="0" wrapText="false" indent="0" shrinkToFit="false"/>
      <protection locked="true" hidden="false"/>
    </xf>
    <xf numFmtId="165" fontId="8" fillId="4" borderId="2" xfId="0" applyFont="true" applyBorder="true" applyAlignment="false" applyProtection="false">
      <alignment horizontal="general" vertical="bottom" textRotation="0" wrapText="false" indent="0" shrinkToFit="false"/>
      <protection locked="true" hidden="false"/>
    </xf>
    <xf numFmtId="166" fontId="8" fillId="4" borderId="2" xfId="0" applyFont="true" applyBorder="true" applyAlignment="false" applyProtection="false">
      <alignment horizontal="general" vertical="bottom" textRotation="0" wrapText="false" indent="0" shrinkToFit="false"/>
      <protection locked="true" hidden="false"/>
    </xf>
    <xf numFmtId="167" fontId="8" fillId="4" borderId="2" xfId="0" applyFont="true" applyBorder="true" applyAlignment="false" applyProtection="false">
      <alignment horizontal="general" vertical="bottom" textRotation="0" wrapText="false" indent="0" shrinkToFit="false"/>
      <protection locked="true" hidden="false"/>
    </xf>
    <xf numFmtId="166" fontId="9" fillId="4" borderId="2" xfId="0" applyFont="true" applyBorder="true" applyAlignment="false" applyProtection="false">
      <alignment horizontal="general" vertical="bottom" textRotation="0" wrapText="false" indent="0" shrinkToFit="false"/>
      <protection locked="true" hidden="false"/>
    </xf>
    <xf numFmtId="166" fontId="6" fillId="4" borderId="2" xfId="0" applyFont="true" applyBorder="true" applyAlignment="false" applyProtection="false">
      <alignment horizontal="general" vertical="bottom" textRotation="0" wrapText="false" indent="0" shrinkToFit="false"/>
      <protection locked="true" hidden="false"/>
    </xf>
    <xf numFmtId="166" fontId="12" fillId="0" borderId="2" xfId="0" applyFont="true" applyBorder="true" applyAlignment="false" applyProtection="false">
      <alignment horizontal="general" vertical="bottom" textRotation="0" wrapText="false" indent="0" shrinkToFit="false"/>
      <protection locked="true" hidden="false"/>
    </xf>
    <xf numFmtId="166" fontId="12" fillId="4"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D5B72"/>
          <bgColor rgb="FF000000"/>
        </patternFill>
      </fill>
    </dxf>
    <dxf>
      <fill>
        <patternFill patternType="solid">
          <fgColor rgb="FFEFF3F5"/>
          <bgColor rgb="FF000000"/>
        </patternFill>
      </fill>
    </dxf>
    <dxf>
      <fill>
        <patternFill patternType="solid">
          <bgColor rgb="FF000000"/>
        </patternFill>
      </fill>
    </dxf>
    <dxf>
      <fill>
        <patternFill patternType="solid">
          <fgColor rgb="FFFFFFFF"/>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5B72"/>
      <rgbColor rgb="FFBFBFBF"/>
      <rgbColor rgb="FF808080"/>
      <rgbColor rgb="FF9999FF"/>
      <rgbColor rgb="FF993366"/>
      <rgbColor rgb="FFEFF3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20"/>
    <col collapsed="false" customWidth="true" hidden="false" outlineLevel="0" max="4" min="4" style="0" width="18"/>
    <col collapsed="false" customWidth="true" hidden="false" outlineLevel="0" max="5" min="5" style="0" width="34"/>
    <col collapsed="false" customWidth="true" hidden="false" outlineLevel="0" max="6" min="6"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c r="B5" s="5" t="s">
        <v>3</v>
      </c>
    </row>
    <row r="6" customFormat="false" ht="15" hidden="false" customHeight="false" outlineLevel="0" collapsed="false">
      <c r="B6" s="6" t="s">
        <v>4</v>
      </c>
    </row>
    <row r="7" customFormat="false" ht="15" hidden="false" customHeight="false" outlineLevel="0" collapsed="false">
      <c r="B7" s="7" t="s">
        <v>5</v>
      </c>
    </row>
    <row r="8" customFormat="false" ht="15" hidden="false" customHeight="false" outlineLevel="0" collapsed="false">
      <c r="A8" s="8" t="s">
        <v>6</v>
      </c>
      <c r="B8" s="9"/>
      <c r="C8" s="9"/>
      <c r="D8" s="9"/>
      <c r="E8" s="9"/>
      <c r="F8" s="9"/>
      <c r="G8" s="9"/>
    </row>
    <row r="9" customFormat="false" ht="15" hidden="false" customHeight="false" outlineLevel="0" collapsed="false">
      <c r="A9" s="10" t="s">
        <v>7</v>
      </c>
      <c r="B9" s="10" t="s">
        <v>8</v>
      </c>
      <c r="C9" s="10" t="s">
        <v>9</v>
      </c>
      <c r="D9" s="10" t="s">
        <v>10</v>
      </c>
      <c r="E9" s="10" t="s">
        <v>11</v>
      </c>
    </row>
    <row r="10" customFormat="false" ht="15" hidden="false" customHeight="false" outlineLevel="0" collapsed="false">
      <c r="A10" s="11" t="s">
        <v>12</v>
      </c>
      <c r="B10" s="12" t="s">
        <v>13</v>
      </c>
      <c r="C10" s="13" t="n">
        <v>300</v>
      </c>
      <c r="D10" s="14" t="n">
        <f aca="false">C10*12</f>
        <v>3600</v>
      </c>
      <c r="E10" s="15" t="s">
        <v>14</v>
      </c>
    </row>
    <row r="11" customFormat="false" ht="15" hidden="false" customHeight="false" outlineLevel="0" collapsed="false">
      <c r="A11" s="11" t="s">
        <v>15</v>
      </c>
      <c r="B11" s="12" t="s">
        <v>16</v>
      </c>
      <c r="C11" s="13" t="n">
        <v>600</v>
      </c>
      <c r="D11" s="14" t="n">
        <f aca="false">C11*12</f>
        <v>7200</v>
      </c>
      <c r="E11" s="15" t="s">
        <v>17</v>
      </c>
    </row>
    <row r="12" customFormat="false" ht="15" hidden="false" customHeight="false" outlineLevel="0" collapsed="false">
      <c r="A12" s="11" t="s">
        <v>18</v>
      </c>
      <c r="B12" s="12" t="s">
        <v>19</v>
      </c>
      <c r="C12" s="13" t="n">
        <v>600</v>
      </c>
      <c r="D12" s="14" t="n">
        <f aca="false">C12*12</f>
        <v>7200</v>
      </c>
      <c r="E12" s="15" t="s">
        <v>20</v>
      </c>
    </row>
    <row r="13" customFormat="false" ht="15" hidden="false" customHeight="false" outlineLevel="0" collapsed="false">
      <c r="A13" s="11" t="s">
        <v>21</v>
      </c>
      <c r="B13" s="12" t="s">
        <v>22</v>
      </c>
      <c r="C13" s="13" t="n">
        <v>1000</v>
      </c>
      <c r="D13" s="14" t="n">
        <f aca="false">C13*12</f>
        <v>12000</v>
      </c>
      <c r="E13" s="15" t="s">
        <v>23</v>
      </c>
    </row>
    <row r="14" customFormat="false" ht="15" hidden="false" customHeight="false" outlineLevel="0" collapsed="false">
      <c r="A14" s="3" t="s">
        <v>24</v>
      </c>
      <c r="C14" s="16" t="n">
        <f aca="false">SUMIFS(C10:C13,B10:B13,"EE")*1+SUMIFS(C10:C13,B10:B13,"ES")*1+SUMIFS(C10:C13,B10:B13,"FAM")*2</f>
        <v>2900</v>
      </c>
      <c r="D14" s="17" t="n">
        <f aca="false">C14*12</f>
        <v>34800</v>
      </c>
    </row>
    <row r="16" customFormat="false" ht="15" hidden="false" customHeight="false" outlineLevel="0" collapsed="false">
      <c r="A16" s="8" t="s">
        <v>25</v>
      </c>
      <c r="B16" s="9"/>
      <c r="C16" s="9"/>
      <c r="D16" s="9"/>
      <c r="E16" s="9"/>
      <c r="F16" s="9"/>
      <c r="G16" s="9"/>
    </row>
    <row r="17" customFormat="false" ht="22.35" hidden="false" customHeight="false" outlineLevel="0" collapsed="false">
      <c r="A17" s="10" t="s">
        <v>26</v>
      </c>
      <c r="B17" s="10" t="s">
        <v>27</v>
      </c>
      <c r="C17" s="10" t="s">
        <v>28</v>
      </c>
      <c r="D17" s="10" t="s">
        <v>29</v>
      </c>
      <c r="E17" s="10" t="s">
        <v>30</v>
      </c>
      <c r="F17" s="10" t="s">
        <v>31</v>
      </c>
    </row>
    <row r="18" customFormat="false" ht="15" hidden="false" customHeight="false" outlineLevel="0" collapsed="false">
      <c r="A18" s="11" t="s">
        <v>32</v>
      </c>
      <c r="B18" s="18" t="n">
        <v>0.5</v>
      </c>
      <c r="C18" s="13" t="n">
        <v>374.03</v>
      </c>
      <c r="D18" s="19" t="n">
        <f aca="false">B18*C18</f>
        <v>187.015</v>
      </c>
      <c r="E18" s="11" t="s">
        <v>33</v>
      </c>
      <c r="F18" s="15" t="s">
        <v>34</v>
      </c>
    </row>
    <row r="19" customFormat="false" ht="15" hidden="false" customHeight="false" outlineLevel="0" collapsed="false">
      <c r="A19" s="11" t="s">
        <v>35</v>
      </c>
      <c r="B19" s="18" t="n">
        <v>0.7</v>
      </c>
      <c r="C19" s="13" t="n">
        <v>385</v>
      </c>
      <c r="D19" s="19" t="n">
        <f aca="false">B19*C19</f>
        <v>269.5</v>
      </c>
      <c r="E19" s="11" t="s">
        <v>36</v>
      </c>
      <c r="F19" s="15" t="s">
        <v>37</v>
      </c>
    </row>
    <row r="20" customFormat="false" ht="15" hidden="false" customHeight="false" outlineLevel="0" collapsed="false">
      <c r="A20" s="11" t="s">
        <v>38</v>
      </c>
      <c r="B20" s="18" t="n">
        <v>0.5</v>
      </c>
      <c r="C20" s="13" t="n">
        <v>439.03</v>
      </c>
      <c r="D20" s="19" t="n">
        <f aca="false">B20*C20</f>
        <v>219.515</v>
      </c>
      <c r="E20" s="11" t="s">
        <v>39</v>
      </c>
      <c r="F20" s="15" t="s">
        <v>40</v>
      </c>
    </row>
    <row r="22" customFormat="false" ht="15" hidden="false" customHeight="false" outlineLevel="0" collapsed="false">
      <c r="A22" s="2" t="s">
        <v>41</v>
      </c>
    </row>
    <row r="23" customFormat="false" ht="15" hidden="false" customHeight="false" outlineLevel="0" collapsed="false">
      <c r="A23" s="2" t="s">
        <v>42</v>
      </c>
    </row>
    <row r="25" customFormat="false" ht="15" hidden="false" customHeight="false" outlineLevel="0" collapsed="false">
      <c r="A25" s="8" t="s">
        <v>43</v>
      </c>
      <c r="B25" s="9"/>
      <c r="C25" s="9"/>
      <c r="D25" s="9"/>
      <c r="E25" s="9"/>
      <c r="F25" s="9"/>
      <c r="G25" s="9"/>
    </row>
    <row r="26" customFormat="false" ht="15" hidden="false" customHeight="false" outlineLevel="0" collapsed="false">
      <c r="A26" s="10" t="s">
        <v>44</v>
      </c>
      <c r="B26" s="10" t="s">
        <v>45</v>
      </c>
      <c r="C26" s="10" t="s">
        <v>46</v>
      </c>
      <c r="D26" s="10" t="s">
        <v>8</v>
      </c>
      <c r="E26" s="10" t="s">
        <v>47</v>
      </c>
      <c r="F26" s="10" t="s">
        <v>48</v>
      </c>
    </row>
    <row r="27" customFormat="false" ht="15" hidden="false" customHeight="false" outlineLevel="0" collapsed="false">
      <c r="A27" s="11" t="s">
        <v>49</v>
      </c>
      <c r="B27" s="20" t="n">
        <v>186000</v>
      </c>
      <c r="C27" s="11" t="s">
        <v>21</v>
      </c>
      <c r="D27" s="12" t="s">
        <v>22</v>
      </c>
      <c r="E27" s="21" t="s">
        <v>50</v>
      </c>
      <c r="F27" s="15" t="s">
        <v>51</v>
      </c>
    </row>
    <row r="28" customFormat="false" ht="15" hidden="false" customHeight="false" outlineLevel="0" collapsed="false">
      <c r="A28" s="11" t="s">
        <v>52</v>
      </c>
      <c r="B28" s="20" t="n">
        <v>178094</v>
      </c>
      <c r="C28" s="11" t="s">
        <v>12</v>
      </c>
      <c r="D28" s="12" t="s">
        <v>13</v>
      </c>
      <c r="E28" s="21" t="s">
        <v>50</v>
      </c>
      <c r="F28" s="15"/>
    </row>
    <row r="29" customFormat="false" ht="15" hidden="false" customHeight="false" outlineLevel="0" collapsed="false">
      <c r="A29" s="11" t="s">
        <v>53</v>
      </c>
      <c r="B29" s="20" t="n">
        <v>135000</v>
      </c>
      <c r="C29" s="11" t="s">
        <v>21</v>
      </c>
      <c r="D29" s="12" t="s">
        <v>22</v>
      </c>
      <c r="E29" s="21" t="s">
        <v>50</v>
      </c>
      <c r="F29" s="15" t="s">
        <v>54</v>
      </c>
    </row>
    <row r="30" customFormat="false" ht="15" hidden="false" customHeight="false" outlineLevel="0" collapsed="false">
      <c r="A30" s="11" t="s">
        <v>55</v>
      </c>
      <c r="B30" s="20" t="n">
        <v>79228</v>
      </c>
      <c r="C30" s="11" t="s">
        <v>15</v>
      </c>
      <c r="D30" s="12" t="s">
        <v>16</v>
      </c>
      <c r="E30" s="21" t="s">
        <v>50</v>
      </c>
      <c r="F30" s="15"/>
    </row>
    <row r="31" customFormat="false" ht="15" hidden="false" customHeight="false" outlineLevel="0" collapsed="false">
      <c r="A31" s="11" t="s">
        <v>56</v>
      </c>
      <c r="B31" s="20" t="n">
        <v>80000</v>
      </c>
      <c r="C31" s="11" t="s">
        <v>21</v>
      </c>
      <c r="D31" s="12" t="s">
        <v>22</v>
      </c>
      <c r="E31" s="21" t="s">
        <v>57</v>
      </c>
      <c r="F31" s="15" t="s">
        <v>58</v>
      </c>
    </row>
    <row r="32" customFormat="false" ht="15" hidden="false" customHeight="false" outlineLevel="0" collapsed="false">
      <c r="A32" s="2" t="s">
        <v>59</v>
      </c>
    </row>
    <row r="34" customFormat="false" ht="15" hidden="false" customHeight="false" outlineLevel="0" collapsed="false">
      <c r="A34" s="8" t="s">
        <v>60</v>
      </c>
      <c r="B34" s="9"/>
      <c r="C34" s="9"/>
      <c r="D34" s="9"/>
      <c r="E34" s="9"/>
      <c r="F34" s="9"/>
      <c r="G34" s="9"/>
    </row>
    <row r="35" customFormat="false" ht="15" hidden="false" customHeight="false" outlineLevel="0" collapsed="false">
      <c r="A35" s="10" t="s">
        <v>61</v>
      </c>
      <c r="B35" s="10" t="s">
        <v>62</v>
      </c>
    </row>
    <row r="36" customFormat="false" ht="30" hidden="false" customHeight="true" outlineLevel="0" collapsed="false">
      <c r="A36" s="22" t="s">
        <v>63</v>
      </c>
      <c r="B36" s="23" t="s">
        <v>64</v>
      </c>
    </row>
    <row r="37" customFormat="false" ht="30" hidden="false" customHeight="true" outlineLevel="0" collapsed="false">
      <c r="A37" s="22" t="s">
        <v>65</v>
      </c>
      <c r="B37" s="23" t="s">
        <v>66</v>
      </c>
    </row>
    <row r="38" customFormat="false" ht="30" hidden="false" customHeight="true" outlineLevel="0" collapsed="false">
      <c r="A38" s="22" t="s">
        <v>67</v>
      </c>
      <c r="B38" s="23" t="s">
        <v>68</v>
      </c>
    </row>
    <row r="39" customFormat="false" ht="30" hidden="false" customHeight="true" outlineLevel="0" collapsed="false">
      <c r="A39" s="22" t="s">
        <v>69</v>
      </c>
      <c r="B39" s="23" t="s">
        <v>70</v>
      </c>
    </row>
    <row r="40" customFormat="false" ht="30" hidden="false" customHeight="true" outlineLevel="0" collapsed="false">
      <c r="A40" s="22" t="s">
        <v>71</v>
      </c>
      <c r="B40" s="23" t="s">
        <v>72</v>
      </c>
    </row>
    <row r="41" customFormat="false" ht="30" hidden="false" customHeight="true" outlineLevel="0" collapsed="false">
      <c r="A41" s="22" t="s">
        <v>73</v>
      </c>
      <c r="B41" s="23" t="s">
        <v>74</v>
      </c>
    </row>
    <row r="42" customFormat="false" ht="30" hidden="false" customHeight="true" outlineLevel="0" collapsed="false">
      <c r="A42" s="22" t="s">
        <v>75</v>
      </c>
      <c r="B42" s="23" t="s">
        <v>76</v>
      </c>
    </row>
    <row r="43" customFormat="false" ht="30" hidden="false" customHeight="true" outlineLevel="0" collapsed="false">
      <c r="A43" s="22" t="s">
        <v>77</v>
      </c>
      <c r="B43" s="23" t="s">
        <v>78</v>
      </c>
    </row>
    <row r="44" customFormat="false" ht="30" hidden="false" customHeight="true" outlineLevel="0" collapsed="false">
      <c r="A44" s="22" t="s">
        <v>79</v>
      </c>
      <c r="B44" s="23" t="s">
        <v>80</v>
      </c>
    </row>
    <row r="46" customFormat="false" ht="15" hidden="false" customHeight="false" outlineLevel="0" collapsed="false">
      <c r="A46" s="8" t="s">
        <v>81</v>
      </c>
      <c r="B46" s="9"/>
      <c r="C46" s="9"/>
      <c r="D46" s="9"/>
      <c r="E46" s="9"/>
      <c r="F46" s="9"/>
      <c r="G46" s="9"/>
    </row>
    <row r="47" customFormat="false" ht="15" hidden="false" customHeight="false" outlineLevel="0" collapsed="false">
      <c r="A47" s="6" t="s">
        <v>82</v>
      </c>
    </row>
    <row r="48" customFormat="false" ht="15" hidden="false" customHeight="false" outlineLevel="0" collapsed="false">
      <c r="A48" s="6" t="s">
        <v>83</v>
      </c>
    </row>
    <row r="49" customFormat="false" ht="15" hidden="false" customHeight="false" outlineLevel="0" collapsed="false">
      <c r="A49" s="6" t="s">
        <v>84</v>
      </c>
    </row>
    <row r="50" customFormat="false" ht="15" hidden="false" customHeight="false" outlineLevel="0" collapsed="false">
      <c r="A50" s="6" t="s">
        <v>85</v>
      </c>
    </row>
    <row r="51" customFormat="false" ht="15" hidden="false" customHeight="false" outlineLevel="0" collapsed="false">
      <c r="A51" s="6" t="s">
        <v>86</v>
      </c>
    </row>
    <row r="52" customFormat="false" ht="15" hidden="false" customHeight="false" outlineLevel="0" collapsed="false">
      <c r="A52" s="6" t="s">
        <v>87</v>
      </c>
    </row>
    <row r="53" customFormat="false" ht="15" hidden="false" customHeight="false" outlineLevel="0" collapsed="false">
      <c r="A53" s="6"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true" outlineLevel="0" max="3" min="3" style="0" width="36"/>
    <col collapsed="false" customWidth="true" hidden="false" outlineLevel="0" max="4" min="4" style="0" width="34"/>
    <col collapsed="false" customWidth="true" hidden="false" outlineLevel="0" max="5" min="5" style="0" width="6"/>
    <col collapsed="false" customWidth="true" hidden="false" outlineLevel="0" max="7" min="6" style="0" width="13"/>
    <col collapsed="false" customWidth="true" hidden="false" outlineLevel="0" max="9" min="8" style="0" width="14"/>
    <col collapsed="false" customWidth="true" hidden="false" outlineLevel="0" max="10" min="10" style="0" width="12"/>
    <col collapsed="false" customWidth="true" hidden="false" outlineLevel="0" max="12" min="11" style="0" width="15"/>
    <col collapsed="false" customWidth="true" hidden="false" outlineLevel="0" max="13" min="13" style="0" width="26"/>
    <col collapsed="false" customWidth="true" hidden="false" outlineLevel="0" max="14" min="14" style="0" width="15"/>
    <col collapsed="false" customWidth="true" hidden="false" outlineLevel="0" max="18" min="15" style="0" width="11"/>
  </cols>
  <sheetData>
    <row r="1" customFormat="false" ht="17.35" hidden="false" customHeight="false" outlineLevel="0" collapsed="false">
      <c r="A1" s="1" t="s">
        <v>89</v>
      </c>
    </row>
    <row r="2" customFormat="false" ht="15" hidden="false" customHeight="false" outlineLevel="0" collapsed="false">
      <c r="A2" s="2" t="s">
        <v>90</v>
      </c>
    </row>
    <row r="3" customFormat="false" ht="15" hidden="false" customHeight="false" outlineLevel="0" collapsed="false">
      <c r="O3" s="24" t="s">
        <v>91</v>
      </c>
      <c r="P3" s="24"/>
      <c r="Q3" s="24"/>
      <c r="R3" s="24"/>
    </row>
    <row r="4" customFormat="false" ht="42" hidden="false" customHeight="true" outlineLevel="0" collapsed="false">
      <c r="A4" s="10" t="s">
        <v>26</v>
      </c>
      <c r="B4" s="10" t="s">
        <v>92</v>
      </c>
      <c r="C4" s="10" t="s">
        <v>93</v>
      </c>
      <c r="D4" s="10" t="s">
        <v>94</v>
      </c>
      <c r="E4" s="10" t="s">
        <v>95</v>
      </c>
      <c r="F4" s="10" t="s">
        <v>96</v>
      </c>
      <c r="G4" s="10" t="s">
        <v>97</v>
      </c>
      <c r="H4" s="10" t="s">
        <v>98</v>
      </c>
      <c r="I4" s="10" t="s">
        <v>99</v>
      </c>
      <c r="J4" s="10" t="s">
        <v>100</v>
      </c>
      <c r="K4" s="10" t="s">
        <v>101</v>
      </c>
      <c r="L4" s="10" t="s">
        <v>102</v>
      </c>
      <c r="M4" s="10" t="s">
        <v>103</v>
      </c>
      <c r="N4" s="10" t="s">
        <v>104</v>
      </c>
      <c r="O4" s="10" t="s">
        <v>13</v>
      </c>
      <c r="P4" s="10" t="s">
        <v>16</v>
      </c>
      <c r="Q4" s="10" t="s">
        <v>19</v>
      </c>
      <c r="R4" s="10" t="s">
        <v>22</v>
      </c>
    </row>
    <row r="5" customFormat="false" ht="15" hidden="false" customHeight="false" outlineLevel="0" collapsed="false">
      <c r="A5" s="12" t="s">
        <v>32</v>
      </c>
      <c r="B5" s="12" t="s">
        <v>105</v>
      </c>
      <c r="C5" s="12" t="s">
        <v>106</v>
      </c>
      <c r="D5" s="12" t="s">
        <v>107</v>
      </c>
      <c r="E5" s="25" t="s">
        <v>108</v>
      </c>
      <c r="F5" s="20" t="n">
        <v>2000</v>
      </c>
      <c r="G5" s="20" t="n">
        <v>4000</v>
      </c>
      <c r="H5" s="20" t="n">
        <v>3500</v>
      </c>
      <c r="I5" s="20" t="n">
        <v>7000</v>
      </c>
      <c r="J5" s="26" t="n">
        <v>1</v>
      </c>
      <c r="K5" s="12" t="s">
        <v>109</v>
      </c>
      <c r="L5" s="12" t="s">
        <v>110</v>
      </c>
      <c r="M5" s="12" t="s">
        <v>111</v>
      </c>
      <c r="N5" s="12" t="s">
        <v>112</v>
      </c>
      <c r="O5" s="27" t="n">
        <v>640.66</v>
      </c>
      <c r="P5" s="27" t="n">
        <v>1377.42</v>
      </c>
      <c r="Q5" s="27" t="n">
        <v>1249.28</v>
      </c>
      <c r="R5" s="27" t="n">
        <v>1986.04</v>
      </c>
    </row>
    <row r="6" customFormat="false" ht="15" hidden="false" customHeight="false" outlineLevel="0" collapsed="false">
      <c r="A6" s="28" t="s">
        <v>32</v>
      </c>
      <c r="B6" s="28" t="s">
        <v>113</v>
      </c>
      <c r="C6" s="28" t="s">
        <v>114</v>
      </c>
      <c r="D6" s="28" t="s">
        <v>107</v>
      </c>
      <c r="E6" s="29" t="s">
        <v>108</v>
      </c>
      <c r="F6" s="30" t="n">
        <v>2500</v>
      </c>
      <c r="G6" s="30" t="n">
        <v>5000</v>
      </c>
      <c r="H6" s="30" t="n">
        <v>3500</v>
      </c>
      <c r="I6" s="30" t="n">
        <v>7000</v>
      </c>
      <c r="J6" s="31" t="n">
        <v>1</v>
      </c>
      <c r="K6" s="28" t="s">
        <v>109</v>
      </c>
      <c r="L6" s="28" t="s">
        <v>110</v>
      </c>
      <c r="M6" s="28" t="s">
        <v>111</v>
      </c>
      <c r="N6" s="28" t="s">
        <v>112</v>
      </c>
      <c r="O6" s="32" t="n">
        <v>606.87</v>
      </c>
      <c r="P6" s="32" t="n">
        <v>1304.77</v>
      </c>
      <c r="Q6" s="32" t="n">
        <v>1183.39</v>
      </c>
      <c r="R6" s="32" t="n">
        <v>1881.29</v>
      </c>
    </row>
    <row r="7" customFormat="false" ht="15" hidden="false" customHeight="false" outlineLevel="0" collapsed="false">
      <c r="A7" s="12" t="s">
        <v>32</v>
      </c>
      <c r="B7" s="12" t="s">
        <v>115</v>
      </c>
      <c r="C7" s="12" t="s">
        <v>116</v>
      </c>
      <c r="D7" s="12" t="s">
        <v>117</v>
      </c>
      <c r="E7" s="25" t="s">
        <v>118</v>
      </c>
      <c r="F7" s="20" t="n">
        <v>500</v>
      </c>
      <c r="G7" s="20" t="n">
        <v>1000</v>
      </c>
      <c r="H7" s="20" t="n">
        <v>3500</v>
      </c>
      <c r="I7" s="20" t="n">
        <v>7000</v>
      </c>
      <c r="J7" s="26" t="n">
        <v>0.8</v>
      </c>
      <c r="K7" s="12" t="s">
        <v>119</v>
      </c>
      <c r="L7" s="12" t="s">
        <v>120</v>
      </c>
      <c r="M7" s="12" t="s">
        <v>121</v>
      </c>
      <c r="N7" s="12" t="s">
        <v>122</v>
      </c>
      <c r="O7" s="27" t="n">
        <v>882.91</v>
      </c>
      <c r="P7" s="27" t="n">
        <v>1898.25</v>
      </c>
      <c r="Q7" s="27" t="n">
        <v>1721.67</v>
      </c>
      <c r="R7" s="27" t="n">
        <v>2737.01</v>
      </c>
    </row>
    <row r="8" customFormat="false" ht="15" hidden="false" customHeight="false" outlineLevel="0" collapsed="false">
      <c r="A8" s="28" t="s">
        <v>32</v>
      </c>
      <c r="B8" s="28" t="s">
        <v>123</v>
      </c>
      <c r="C8" s="28" t="s">
        <v>124</v>
      </c>
      <c r="D8" s="28" t="s">
        <v>117</v>
      </c>
      <c r="E8" s="29" t="s">
        <v>118</v>
      </c>
      <c r="F8" s="30" t="n">
        <v>1000</v>
      </c>
      <c r="G8" s="30" t="n">
        <v>2000</v>
      </c>
      <c r="H8" s="30" t="n">
        <v>4500</v>
      </c>
      <c r="I8" s="30" t="n">
        <v>9000</v>
      </c>
      <c r="J8" s="31" t="n">
        <v>0.8</v>
      </c>
      <c r="K8" s="28" t="s">
        <v>119</v>
      </c>
      <c r="L8" s="28" t="s">
        <v>120</v>
      </c>
      <c r="M8" s="28" t="s">
        <v>121</v>
      </c>
      <c r="N8" s="28" t="s">
        <v>125</v>
      </c>
      <c r="O8" s="32" t="n">
        <v>768.21</v>
      </c>
      <c r="P8" s="32" t="n">
        <v>1651.66</v>
      </c>
      <c r="Q8" s="32" t="n">
        <v>1498.01</v>
      </c>
      <c r="R8" s="32" t="n">
        <v>2381.46</v>
      </c>
    </row>
    <row r="9" customFormat="false" ht="15" hidden="false" customHeight="false" outlineLevel="0" collapsed="false">
      <c r="A9" s="12" t="s">
        <v>32</v>
      </c>
      <c r="B9" s="12" t="s">
        <v>126</v>
      </c>
      <c r="C9" s="12" t="s">
        <v>127</v>
      </c>
      <c r="D9" s="12" t="s">
        <v>128</v>
      </c>
      <c r="E9" s="25" t="s">
        <v>108</v>
      </c>
      <c r="F9" s="20" t="n">
        <v>3500</v>
      </c>
      <c r="G9" s="20" t="n">
        <v>7000</v>
      </c>
      <c r="H9" s="20" t="n">
        <v>6350</v>
      </c>
      <c r="I9" s="20" t="n">
        <v>12700</v>
      </c>
      <c r="J9" s="26" t="n">
        <v>0.8</v>
      </c>
      <c r="K9" s="12" t="s">
        <v>129</v>
      </c>
      <c r="L9" s="12" t="s">
        <v>129</v>
      </c>
      <c r="M9" s="12" t="s">
        <v>111</v>
      </c>
      <c r="N9" s="12" t="s">
        <v>130</v>
      </c>
      <c r="O9" s="27" t="n">
        <v>490.12</v>
      </c>
      <c r="P9" s="27" t="n">
        <v>1053.75</v>
      </c>
      <c r="Q9" s="27" t="n">
        <v>955.73</v>
      </c>
      <c r="R9" s="27" t="n">
        <v>1519.36</v>
      </c>
    </row>
    <row r="10" customFormat="false" ht="15" hidden="false" customHeight="false" outlineLevel="0" collapsed="false">
      <c r="A10" s="28" t="s">
        <v>32</v>
      </c>
      <c r="B10" s="28" t="s">
        <v>131</v>
      </c>
      <c r="C10" s="28" t="s">
        <v>132</v>
      </c>
      <c r="D10" s="28" t="s">
        <v>128</v>
      </c>
      <c r="E10" s="29" t="s">
        <v>118</v>
      </c>
      <c r="F10" s="30" t="n">
        <v>500</v>
      </c>
      <c r="G10" s="30" t="n">
        <v>1000</v>
      </c>
      <c r="H10" s="30" t="n">
        <v>3500</v>
      </c>
      <c r="I10" s="30" t="n">
        <v>7000</v>
      </c>
      <c r="J10" s="31" t="n">
        <v>0.8</v>
      </c>
      <c r="K10" s="28" t="s">
        <v>119</v>
      </c>
      <c r="L10" s="28" t="s">
        <v>120</v>
      </c>
      <c r="M10" s="28" t="s">
        <v>121</v>
      </c>
      <c r="N10" s="28" t="s">
        <v>122</v>
      </c>
      <c r="O10" s="32" t="n">
        <v>825.23</v>
      </c>
      <c r="P10" s="32" t="n">
        <v>1774.24</v>
      </c>
      <c r="Q10" s="32" t="n">
        <v>1609.19</v>
      </c>
      <c r="R10" s="32" t="n">
        <v>2558.21</v>
      </c>
    </row>
    <row r="11" customFormat="false" ht="15" hidden="false" customHeight="false" outlineLevel="0" collapsed="false">
      <c r="A11" s="12" t="s">
        <v>32</v>
      </c>
      <c r="B11" s="12" t="s">
        <v>133</v>
      </c>
      <c r="C11" s="12" t="s">
        <v>134</v>
      </c>
      <c r="D11" s="12" t="s">
        <v>128</v>
      </c>
      <c r="E11" s="25" t="s">
        <v>118</v>
      </c>
      <c r="F11" s="20" t="n">
        <v>1000</v>
      </c>
      <c r="G11" s="20" t="n">
        <v>2000</v>
      </c>
      <c r="H11" s="20" t="n">
        <v>4500</v>
      </c>
      <c r="I11" s="20" t="n">
        <v>9000</v>
      </c>
      <c r="J11" s="26" t="n">
        <v>0.8</v>
      </c>
      <c r="K11" s="12" t="s">
        <v>119</v>
      </c>
      <c r="L11" s="12" t="s">
        <v>120</v>
      </c>
      <c r="M11" s="12" t="s">
        <v>121</v>
      </c>
      <c r="N11" s="12" t="s">
        <v>125</v>
      </c>
      <c r="O11" s="27" t="n">
        <v>749.15</v>
      </c>
      <c r="P11" s="27" t="n">
        <v>1610.67</v>
      </c>
      <c r="Q11" s="27" t="n">
        <v>1460.84</v>
      </c>
      <c r="R11" s="27" t="n">
        <v>2322.36</v>
      </c>
    </row>
    <row r="12" customFormat="false" ht="15" hidden="false" customHeight="false" outlineLevel="0" collapsed="false">
      <c r="A12" s="28" t="s">
        <v>32</v>
      </c>
      <c r="B12" s="28" t="s">
        <v>135</v>
      </c>
      <c r="C12" s="28" t="s">
        <v>136</v>
      </c>
      <c r="D12" s="28" t="s">
        <v>128</v>
      </c>
      <c r="E12" s="29" t="s">
        <v>118</v>
      </c>
      <c r="F12" s="30" t="n">
        <v>1500</v>
      </c>
      <c r="G12" s="30" t="n">
        <v>3000</v>
      </c>
      <c r="H12" s="30" t="n">
        <v>5000</v>
      </c>
      <c r="I12" s="30" t="n">
        <v>10000</v>
      </c>
      <c r="J12" s="31" t="n">
        <v>1</v>
      </c>
      <c r="K12" s="28" t="s">
        <v>137</v>
      </c>
      <c r="L12" s="28" t="s">
        <v>138</v>
      </c>
      <c r="M12" s="28" t="s">
        <v>121</v>
      </c>
      <c r="N12" s="28" t="s">
        <v>125</v>
      </c>
      <c r="O12" s="32" t="n">
        <v>744.88</v>
      </c>
      <c r="P12" s="32" t="n">
        <v>1601.49</v>
      </c>
      <c r="Q12" s="32" t="n">
        <v>1452.51</v>
      </c>
      <c r="R12" s="32" t="n">
        <v>2309.12</v>
      </c>
    </row>
    <row r="13" customFormat="false" ht="15" hidden="false" customHeight="false" outlineLevel="0" collapsed="false">
      <c r="A13" s="12" t="s">
        <v>32</v>
      </c>
      <c r="B13" s="12" t="s">
        <v>139</v>
      </c>
      <c r="C13" s="12" t="s">
        <v>140</v>
      </c>
      <c r="D13" s="12" t="s">
        <v>128</v>
      </c>
      <c r="E13" s="25" t="s">
        <v>108</v>
      </c>
      <c r="F13" s="20" t="n">
        <v>6000</v>
      </c>
      <c r="G13" s="20" t="n">
        <v>12000</v>
      </c>
      <c r="H13" s="20" t="n">
        <v>6500</v>
      </c>
      <c r="I13" s="20" t="n">
        <v>13000</v>
      </c>
      <c r="J13" s="26" t="n">
        <v>0.8</v>
      </c>
      <c r="K13" s="12" t="s">
        <v>129</v>
      </c>
      <c r="L13" s="12" t="s">
        <v>129</v>
      </c>
      <c r="M13" s="12" t="s">
        <v>111</v>
      </c>
      <c r="N13" s="12" t="s">
        <v>130</v>
      </c>
      <c r="O13" s="27" t="n">
        <v>437.9</v>
      </c>
      <c r="P13" s="27" t="n">
        <v>941.49</v>
      </c>
      <c r="Q13" s="27" t="n">
        <v>853.91</v>
      </c>
      <c r="R13" s="27" t="n">
        <v>1357.49</v>
      </c>
    </row>
    <row r="14" customFormat="false" ht="15" hidden="false" customHeight="false" outlineLevel="0" collapsed="false">
      <c r="A14" s="28" t="s">
        <v>32</v>
      </c>
      <c r="B14" s="28" t="s">
        <v>141</v>
      </c>
      <c r="C14" s="28" t="s">
        <v>142</v>
      </c>
      <c r="D14" s="28" t="s">
        <v>128</v>
      </c>
      <c r="E14" s="29" t="s">
        <v>118</v>
      </c>
      <c r="F14" s="30" t="n">
        <v>3000</v>
      </c>
      <c r="G14" s="30" t="n">
        <v>6000</v>
      </c>
      <c r="H14" s="30" t="n">
        <v>7000</v>
      </c>
      <c r="I14" s="30" t="n">
        <v>14000</v>
      </c>
      <c r="J14" s="31" t="n">
        <v>0.8</v>
      </c>
      <c r="K14" s="28" t="s">
        <v>137</v>
      </c>
      <c r="L14" s="28" t="s">
        <v>138</v>
      </c>
      <c r="M14" s="28" t="s">
        <v>143</v>
      </c>
      <c r="N14" s="28" t="s">
        <v>125</v>
      </c>
      <c r="O14" s="32" t="n">
        <v>629.01</v>
      </c>
      <c r="P14" s="32" t="n">
        <v>1352.36</v>
      </c>
      <c r="Q14" s="32" t="n">
        <v>1226.56</v>
      </c>
      <c r="R14" s="32" t="n">
        <v>1949.92</v>
      </c>
    </row>
    <row r="15" customFormat="false" ht="15" hidden="false" customHeight="false" outlineLevel="0" collapsed="false">
      <c r="A15" s="12" t="s">
        <v>32</v>
      </c>
      <c r="B15" s="12" t="s">
        <v>33</v>
      </c>
      <c r="C15" s="12" t="s">
        <v>144</v>
      </c>
      <c r="D15" s="12" t="s">
        <v>128</v>
      </c>
      <c r="E15" s="25" t="s">
        <v>118</v>
      </c>
      <c r="F15" s="20" t="n">
        <v>8000</v>
      </c>
      <c r="G15" s="20" t="n">
        <v>16000</v>
      </c>
      <c r="H15" s="20" t="n">
        <v>10000</v>
      </c>
      <c r="I15" s="20" t="n">
        <v>20000</v>
      </c>
      <c r="J15" s="26" t="n">
        <v>0.8</v>
      </c>
      <c r="K15" s="12" t="s">
        <v>145</v>
      </c>
      <c r="L15" s="12" t="s">
        <v>146</v>
      </c>
      <c r="M15" s="12" t="s">
        <v>147</v>
      </c>
      <c r="N15" s="12" t="s">
        <v>130</v>
      </c>
      <c r="O15" s="27" t="n">
        <v>374.03</v>
      </c>
      <c r="P15" s="27" t="n">
        <v>804.17</v>
      </c>
      <c r="Q15" s="27" t="n">
        <v>729.36</v>
      </c>
      <c r="R15" s="27" t="n">
        <v>1159.51</v>
      </c>
    </row>
    <row r="16" customFormat="false" ht="15" hidden="false" customHeight="false" outlineLevel="0" collapsed="false">
      <c r="A16" s="28" t="s">
        <v>35</v>
      </c>
      <c r="B16" s="28" t="s">
        <v>36</v>
      </c>
      <c r="C16" s="28" t="s">
        <v>148</v>
      </c>
      <c r="D16" s="28" t="s">
        <v>149</v>
      </c>
      <c r="E16" s="29" t="s">
        <v>118</v>
      </c>
      <c r="F16" s="30" t="n">
        <v>6500</v>
      </c>
      <c r="G16" s="30" t="n">
        <v>13000</v>
      </c>
      <c r="H16" s="30" t="n">
        <v>7500</v>
      </c>
      <c r="I16" s="30" t="n">
        <v>15000</v>
      </c>
      <c r="J16" s="31" t="n">
        <v>1</v>
      </c>
      <c r="K16" s="28" t="s">
        <v>119</v>
      </c>
      <c r="L16" s="28" t="s">
        <v>150</v>
      </c>
      <c r="M16" s="28" t="s">
        <v>151</v>
      </c>
      <c r="N16" s="28" t="s">
        <v>152</v>
      </c>
      <c r="O16" s="32" t="n">
        <v>385</v>
      </c>
      <c r="P16" s="32" t="n">
        <v>889</v>
      </c>
      <c r="Q16" s="32" t="n">
        <v>785</v>
      </c>
      <c r="R16" s="32" t="n">
        <v>1166</v>
      </c>
    </row>
    <row r="17" customFormat="false" ht="15" hidden="false" customHeight="false" outlineLevel="0" collapsed="false">
      <c r="A17" s="12" t="s">
        <v>35</v>
      </c>
      <c r="B17" s="12" t="s">
        <v>153</v>
      </c>
      <c r="C17" s="12" t="s">
        <v>154</v>
      </c>
      <c r="D17" s="12" t="s">
        <v>155</v>
      </c>
      <c r="E17" s="25" t="s">
        <v>118</v>
      </c>
      <c r="F17" s="20" t="n">
        <v>7150</v>
      </c>
      <c r="G17" s="20" t="n">
        <v>14300</v>
      </c>
      <c r="H17" s="20" t="n">
        <v>7600</v>
      </c>
      <c r="I17" s="20" t="n">
        <v>15200</v>
      </c>
      <c r="J17" s="26" t="n">
        <v>1</v>
      </c>
      <c r="K17" s="12" t="s">
        <v>156</v>
      </c>
      <c r="L17" s="12" t="s">
        <v>157</v>
      </c>
      <c r="M17" s="12" t="s">
        <v>158</v>
      </c>
      <c r="N17" s="12" t="s">
        <v>152</v>
      </c>
      <c r="O17" s="27" t="n">
        <v>400</v>
      </c>
      <c r="P17" s="27" t="n">
        <v>924</v>
      </c>
      <c r="Q17" s="27" t="n">
        <v>816</v>
      </c>
      <c r="R17" s="27" t="n">
        <v>1212</v>
      </c>
    </row>
    <row r="18" customFormat="false" ht="15" hidden="false" customHeight="false" outlineLevel="0" collapsed="false">
      <c r="A18" s="28" t="s">
        <v>35</v>
      </c>
      <c r="B18" s="28" t="s">
        <v>159</v>
      </c>
      <c r="C18" s="28" t="s">
        <v>160</v>
      </c>
      <c r="D18" s="28" t="s">
        <v>155</v>
      </c>
      <c r="E18" s="29" t="s">
        <v>108</v>
      </c>
      <c r="F18" s="30" t="n">
        <v>6350</v>
      </c>
      <c r="G18" s="30" t="n">
        <v>12700</v>
      </c>
      <c r="H18" s="30" t="n">
        <v>6350</v>
      </c>
      <c r="I18" s="30" t="n">
        <v>12700</v>
      </c>
      <c r="J18" s="31" t="n">
        <v>1</v>
      </c>
      <c r="K18" s="28" t="s">
        <v>152</v>
      </c>
      <c r="L18" s="28" t="s">
        <v>152</v>
      </c>
      <c r="M18" s="28" t="s">
        <v>161</v>
      </c>
      <c r="N18" s="28" t="s">
        <v>152</v>
      </c>
      <c r="O18" s="32" t="n">
        <v>410</v>
      </c>
      <c r="P18" s="32" t="n">
        <v>947</v>
      </c>
      <c r="Q18" s="32" t="n">
        <v>836</v>
      </c>
      <c r="R18" s="32" t="n">
        <v>1242</v>
      </c>
    </row>
    <row r="19" customFormat="false" ht="15" hidden="false" customHeight="false" outlineLevel="0" collapsed="false">
      <c r="A19" s="12" t="s">
        <v>35</v>
      </c>
      <c r="B19" s="12" t="s">
        <v>162</v>
      </c>
      <c r="C19" s="12" t="s">
        <v>163</v>
      </c>
      <c r="D19" s="12" t="s">
        <v>155</v>
      </c>
      <c r="E19" s="25" t="s">
        <v>108</v>
      </c>
      <c r="F19" s="20" t="n">
        <v>4000</v>
      </c>
      <c r="G19" s="20" t="n">
        <v>8000</v>
      </c>
      <c r="H19" s="20" t="n">
        <v>6850</v>
      </c>
      <c r="I19" s="20" t="n">
        <v>13700</v>
      </c>
      <c r="J19" s="26" t="n">
        <v>0.8</v>
      </c>
      <c r="K19" s="12" t="s">
        <v>129</v>
      </c>
      <c r="L19" s="12" t="s">
        <v>129</v>
      </c>
      <c r="M19" s="12" t="s">
        <v>111</v>
      </c>
      <c r="N19" s="12" t="s">
        <v>129</v>
      </c>
      <c r="O19" s="27" t="n">
        <v>494</v>
      </c>
      <c r="P19" s="27" t="n">
        <v>1140</v>
      </c>
      <c r="Q19" s="27" t="n">
        <v>1007</v>
      </c>
      <c r="R19" s="27" t="n">
        <v>1495</v>
      </c>
    </row>
    <row r="20" customFormat="false" ht="15" hidden="false" customHeight="false" outlineLevel="0" collapsed="false">
      <c r="A20" s="28" t="s">
        <v>35</v>
      </c>
      <c r="B20" s="28" t="s">
        <v>164</v>
      </c>
      <c r="C20" s="28" t="s">
        <v>165</v>
      </c>
      <c r="D20" s="28" t="s">
        <v>149</v>
      </c>
      <c r="E20" s="29" t="s">
        <v>118</v>
      </c>
      <c r="F20" s="30" t="n">
        <v>2500</v>
      </c>
      <c r="G20" s="30" t="n">
        <v>5000</v>
      </c>
      <c r="H20" s="30" t="n">
        <v>7500</v>
      </c>
      <c r="I20" s="30" t="n">
        <v>15000</v>
      </c>
      <c r="J20" s="31" t="n">
        <v>0.8</v>
      </c>
      <c r="K20" s="28" t="s">
        <v>137</v>
      </c>
      <c r="L20" s="28" t="s">
        <v>138</v>
      </c>
      <c r="M20" s="28" t="s">
        <v>151</v>
      </c>
      <c r="N20" s="28" t="s">
        <v>125</v>
      </c>
      <c r="O20" s="32" t="n">
        <v>520</v>
      </c>
      <c r="P20" s="32" t="n">
        <v>1202</v>
      </c>
      <c r="Q20" s="32" t="n">
        <v>1061</v>
      </c>
      <c r="R20" s="32" t="n">
        <v>1576</v>
      </c>
    </row>
    <row r="21" customFormat="false" ht="15" hidden="false" customHeight="false" outlineLevel="0" collapsed="false">
      <c r="A21" s="12" t="s">
        <v>35</v>
      </c>
      <c r="B21" s="12" t="s">
        <v>166</v>
      </c>
      <c r="C21" s="12" t="s">
        <v>167</v>
      </c>
      <c r="D21" s="12" t="s">
        <v>155</v>
      </c>
      <c r="E21" s="25" t="s">
        <v>118</v>
      </c>
      <c r="F21" s="20" t="n">
        <v>5000</v>
      </c>
      <c r="G21" s="20" t="n">
        <v>10000</v>
      </c>
      <c r="H21" s="20" t="n">
        <v>7600</v>
      </c>
      <c r="I21" s="20" t="n">
        <v>15200</v>
      </c>
      <c r="J21" s="26" t="n">
        <v>0.7</v>
      </c>
      <c r="K21" s="12" t="s">
        <v>156</v>
      </c>
      <c r="L21" s="12" t="s">
        <v>168</v>
      </c>
      <c r="M21" s="12" t="s">
        <v>158</v>
      </c>
      <c r="N21" s="12" t="s">
        <v>169</v>
      </c>
      <c r="O21" s="27" t="n">
        <v>530</v>
      </c>
      <c r="P21" s="27" t="n">
        <v>1223</v>
      </c>
      <c r="Q21" s="27" t="n">
        <v>1080</v>
      </c>
      <c r="R21" s="27" t="n">
        <v>1603</v>
      </c>
    </row>
    <row r="22" customFormat="false" ht="15" hidden="false" customHeight="false" outlineLevel="0" collapsed="false">
      <c r="A22" s="28" t="s">
        <v>35</v>
      </c>
      <c r="B22" s="28" t="s">
        <v>170</v>
      </c>
      <c r="C22" s="28" t="s">
        <v>171</v>
      </c>
      <c r="D22" s="28" t="s">
        <v>172</v>
      </c>
      <c r="E22" s="29" t="s">
        <v>118</v>
      </c>
      <c r="F22" s="30" t="n">
        <v>2000</v>
      </c>
      <c r="G22" s="30" t="n">
        <v>4000</v>
      </c>
      <c r="H22" s="30" t="n">
        <v>6500</v>
      </c>
      <c r="I22" s="30" t="n">
        <v>13000</v>
      </c>
      <c r="J22" s="31" t="n">
        <v>0.7</v>
      </c>
      <c r="K22" s="28" t="s">
        <v>173</v>
      </c>
      <c r="L22" s="28" t="s">
        <v>174</v>
      </c>
      <c r="M22" s="28" t="s">
        <v>121</v>
      </c>
      <c r="N22" s="28" t="s">
        <v>125</v>
      </c>
      <c r="O22" s="32" t="n">
        <v>581</v>
      </c>
      <c r="P22" s="32" t="n">
        <v>1342</v>
      </c>
      <c r="Q22" s="32" t="n">
        <v>1185</v>
      </c>
      <c r="R22" s="32" t="n">
        <v>1760</v>
      </c>
    </row>
    <row r="23" customFormat="false" ht="15" hidden="false" customHeight="false" outlineLevel="0" collapsed="false">
      <c r="A23" s="12" t="s">
        <v>35</v>
      </c>
      <c r="B23" s="12" t="s">
        <v>175</v>
      </c>
      <c r="C23" s="12" t="s">
        <v>176</v>
      </c>
      <c r="D23" s="12" t="s">
        <v>149</v>
      </c>
      <c r="E23" s="25" t="s">
        <v>118</v>
      </c>
      <c r="F23" s="20" t="n">
        <v>1000</v>
      </c>
      <c r="G23" s="20" t="n">
        <v>2000</v>
      </c>
      <c r="H23" s="20" t="n">
        <v>5500</v>
      </c>
      <c r="I23" s="20" t="n">
        <v>11000</v>
      </c>
      <c r="J23" s="26" t="n">
        <v>0.8</v>
      </c>
      <c r="K23" s="12" t="s">
        <v>119</v>
      </c>
      <c r="L23" s="12" t="s">
        <v>120</v>
      </c>
      <c r="M23" s="12" t="s">
        <v>151</v>
      </c>
      <c r="N23" s="12" t="s">
        <v>125</v>
      </c>
      <c r="O23" s="27" t="n">
        <v>599</v>
      </c>
      <c r="P23" s="27" t="n">
        <v>1382</v>
      </c>
      <c r="Q23" s="27" t="n">
        <v>1220</v>
      </c>
      <c r="R23" s="27" t="n">
        <v>1812</v>
      </c>
    </row>
    <row r="24" customFormat="false" ht="15" hidden="false" customHeight="false" outlineLevel="0" collapsed="false">
      <c r="A24" s="28" t="s">
        <v>35</v>
      </c>
      <c r="B24" s="28" t="s">
        <v>177</v>
      </c>
      <c r="C24" s="28" t="s">
        <v>178</v>
      </c>
      <c r="D24" s="28" t="s">
        <v>155</v>
      </c>
      <c r="E24" s="29" t="s">
        <v>118</v>
      </c>
      <c r="F24" s="30" t="n">
        <v>3000</v>
      </c>
      <c r="G24" s="30" t="n">
        <v>6000</v>
      </c>
      <c r="H24" s="30" t="n">
        <v>6000</v>
      </c>
      <c r="I24" s="30" t="n">
        <v>12000</v>
      </c>
      <c r="J24" s="31" t="n">
        <v>1</v>
      </c>
      <c r="K24" s="28" t="s">
        <v>137</v>
      </c>
      <c r="L24" s="28" t="s">
        <v>138</v>
      </c>
      <c r="M24" s="28" t="s">
        <v>143</v>
      </c>
      <c r="N24" s="28" t="s">
        <v>125</v>
      </c>
      <c r="O24" s="32" t="n">
        <v>626</v>
      </c>
      <c r="P24" s="32" t="n">
        <v>1446</v>
      </c>
      <c r="Q24" s="32" t="n">
        <v>1277</v>
      </c>
      <c r="R24" s="32" t="n">
        <v>1897</v>
      </c>
    </row>
    <row r="25" customFormat="false" ht="15" hidden="false" customHeight="false" outlineLevel="0" collapsed="false">
      <c r="A25" s="12" t="s">
        <v>35</v>
      </c>
      <c r="B25" s="12" t="s">
        <v>179</v>
      </c>
      <c r="C25" s="12" t="s">
        <v>180</v>
      </c>
      <c r="D25" s="12" t="s">
        <v>155</v>
      </c>
      <c r="E25" s="25" t="s">
        <v>118</v>
      </c>
      <c r="F25" s="20" t="n">
        <v>2000</v>
      </c>
      <c r="G25" s="20" t="n">
        <v>4000</v>
      </c>
      <c r="H25" s="20" t="n">
        <v>6850</v>
      </c>
      <c r="I25" s="20" t="n">
        <v>13700</v>
      </c>
      <c r="J25" s="26" t="n">
        <v>0.8</v>
      </c>
      <c r="K25" s="12" t="s">
        <v>137</v>
      </c>
      <c r="L25" s="12" t="s">
        <v>138</v>
      </c>
      <c r="M25" s="12" t="s">
        <v>121</v>
      </c>
      <c r="N25" s="12" t="s">
        <v>125</v>
      </c>
      <c r="O25" s="27" t="n">
        <v>632</v>
      </c>
      <c r="P25" s="27" t="n">
        <v>1460</v>
      </c>
      <c r="Q25" s="27" t="n">
        <v>1290</v>
      </c>
      <c r="R25" s="27" t="n">
        <v>1915</v>
      </c>
    </row>
    <row r="26" customFormat="false" ht="15" hidden="false" customHeight="false" outlineLevel="0" collapsed="false">
      <c r="A26" s="28" t="s">
        <v>35</v>
      </c>
      <c r="B26" s="28" t="s">
        <v>181</v>
      </c>
      <c r="C26" s="28" t="s">
        <v>182</v>
      </c>
      <c r="D26" s="28" t="s">
        <v>172</v>
      </c>
      <c r="E26" s="29" t="s">
        <v>118</v>
      </c>
      <c r="F26" s="30" t="n">
        <v>1000</v>
      </c>
      <c r="G26" s="30" t="n">
        <v>2000</v>
      </c>
      <c r="H26" s="30" t="n">
        <v>5000</v>
      </c>
      <c r="I26" s="30" t="n">
        <v>10000</v>
      </c>
      <c r="J26" s="31" t="n">
        <v>0.7</v>
      </c>
      <c r="K26" s="28" t="s">
        <v>137</v>
      </c>
      <c r="L26" s="28" t="s">
        <v>138</v>
      </c>
      <c r="M26" s="28" t="s">
        <v>121</v>
      </c>
      <c r="N26" s="28" t="s">
        <v>125</v>
      </c>
      <c r="O26" s="32" t="n">
        <v>640</v>
      </c>
      <c r="P26" s="32" t="n">
        <v>1477</v>
      </c>
      <c r="Q26" s="32" t="n">
        <v>1305</v>
      </c>
      <c r="R26" s="32" t="n">
        <v>1938</v>
      </c>
    </row>
    <row r="27" customFormat="false" ht="15" hidden="false" customHeight="false" outlineLevel="0" collapsed="false">
      <c r="A27" s="12" t="s">
        <v>35</v>
      </c>
      <c r="B27" s="12" t="s">
        <v>183</v>
      </c>
      <c r="C27" s="12" t="s">
        <v>184</v>
      </c>
      <c r="D27" s="12" t="s">
        <v>155</v>
      </c>
      <c r="E27" s="25" t="s">
        <v>118</v>
      </c>
      <c r="F27" s="20" t="n">
        <v>1000</v>
      </c>
      <c r="G27" s="20" t="n">
        <v>2000</v>
      </c>
      <c r="H27" s="20" t="n">
        <v>4500</v>
      </c>
      <c r="I27" s="20" t="n">
        <v>9000</v>
      </c>
      <c r="J27" s="26" t="n">
        <v>0.8</v>
      </c>
      <c r="K27" s="12" t="s">
        <v>119</v>
      </c>
      <c r="L27" s="12" t="s">
        <v>120</v>
      </c>
      <c r="M27" s="12" t="s">
        <v>121</v>
      </c>
      <c r="N27" s="12" t="s">
        <v>125</v>
      </c>
      <c r="O27" s="27" t="n">
        <v>670</v>
      </c>
      <c r="P27" s="27" t="n">
        <v>1548</v>
      </c>
      <c r="Q27" s="27" t="n">
        <v>1367</v>
      </c>
      <c r="R27" s="27" t="n">
        <v>2030</v>
      </c>
    </row>
    <row r="28" customFormat="false" ht="15" hidden="false" customHeight="false" outlineLevel="0" collapsed="false">
      <c r="A28" s="28" t="s">
        <v>35</v>
      </c>
      <c r="B28" s="28" t="s">
        <v>185</v>
      </c>
      <c r="C28" s="28" t="s">
        <v>186</v>
      </c>
      <c r="D28" s="28" t="s">
        <v>155</v>
      </c>
      <c r="E28" s="29" t="s">
        <v>108</v>
      </c>
      <c r="F28" s="30" t="n">
        <v>2000</v>
      </c>
      <c r="G28" s="30" t="n">
        <v>4000</v>
      </c>
      <c r="H28" s="30" t="n">
        <v>3500</v>
      </c>
      <c r="I28" s="30" t="n">
        <v>7000</v>
      </c>
      <c r="J28" s="31" t="n">
        <v>1</v>
      </c>
      <c r="K28" s="28" t="s">
        <v>187</v>
      </c>
      <c r="L28" s="28" t="s">
        <v>188</v>
      </c>
      <c r="M28" s="28" t="s">
        <v>111</v>
      </c>
      <c r="N28" s="28" t="s">
        <v>169</v>
      </c>
      <c r="O28" s="32" t="n">
        <v>590</v>
      </c>
      <c r="P28" s="32" t="n">
        <v>1363</v>
      </c>
      <c r="Q28" s="32" t="n">
        <v>1203</v>
      </c>
      <c r="R28" s="32" t="n">
        <v>1787</v>
      </c>
    </row>
    <row r="29" customFormat="false" ht="15" hidden="false" customHeight="false" outlineLevel="0" collapsed="false">
      <c r="A29" s="12" t="s">
        <v>35</v>
      </c>
      <c r="B29" s="12" t="s">
        <v>189</v>
      </c>
      <c r="C29" s="12" t="s">
        <v>190</v>
      </c>
      <c r="D29" s="12" t="s">
        <v>155</v>
      </c>
      <c r="E29" s="25" t="s">
        <v>118</v>
      </c>
      <c r="F29" s="20" t="n">
        <v>750</v>
      </c>
      <c r="G29" s="20" t="n">
        <v>1500</v>
      </c>
      <c r="H29" s="20" t="n">
        <v>4000</v>
      </c>
      <c r="I29" s="20" t="n">
        <v>8000</v>
      </c>
      <c r="J29" s="26" t="n">
        <v>0.9</v>
      </c>
      <c r="K29" s="12" t="s">
        <v>119</v>
      </c>
      <c r="L29" s="12" t="s">
        <v>120</v>
      </c>
      <c r="M29" s="12" t="s">
        <v>121</v>
      </c>
      <c r="N29" s="12" t="s">
        <v>122</v>
      </c>
      <c r="O29" s="27" t="n">
        <v>743</v>
      </c>
      <c r="P29" s="27" t="n">
        <v>1717</v>
      </c>
      <c r="Q29" s="27" t="n">
        <v>1516</v>
      </c>
      <c r="R29" s="27" t="n">
        <v>2252</v>
      </c>
    </row>
    <row r="30" customFormat="false" ht="15" hidden="false" customHeight="false" outlineLevel="0" collapsed="false">
      <c r="A30" s="28" t="s">
        <v>35</v>
      </c>
      <c r="B30" s="28" t="s">
        <v>191</v>
      </c>
      <c r="C30" s="28" t="s">
        <v>192</v>
      </c>
      <c r="D30" s="28" t="s">
        <v>172</v>
      </c>
      <c r="E30" s="29" t="s">
        <v>118</v>
      </c>
      <c r="F30" s="30" t="n">
        <v>0</v>
      </c>
      <c r="G30" s="30" t="n">
        <v>0</v>
      </c>
      <c r="H30" s="30" t="n">
        <v>3000</v>
      </c>
      <c r="I30" s="30" t="n">
        <v>6000</v>
      </c>
      <c r="J30" s="31" t="n">
        <v>1</v>
      </c>
      <c r="K30" s="28" t="s">
        <v>193</v>
      </c>
      <c r="L30" s="28" t="s">
        <v>156</v>
      </c>
      <c r="M30" s="28" t="s">
        <v>121</v>
      </c>
      <c r="N30" s="28" t="s">
        <v>122</v>
      </c>
      <c r="O30" s="32" t="n">
        <v>794</v>
      </c>
      <c r="P30" s="32" t="n">
        <v>1833</v>
      </c>
      <c r="Q30" s="32" t="n">
        <v>1619</v>
      </c>
      <c r="R30" s="32" t="n">
        <v>2404</v>
      </c>
    </row>
    <row r="31" customFormat="false" ht="15" hidden="false" customHeight="false" outlineLevel="0" collapsed="false">
      <c r="A31" s="12" t="s">
        <v>35</v>
      </c>
      <c r="B31" s="12" t="s">
        <v>194</v>
      </c>
      <c r="C31" s="12" t="s">
        <v>195</v>
      </c>
      <c r="D31" s="12" t="s">
        <v>155</v>
      </c>
      <c r="E31" s="25" t="s">
        <v>118</v>
      </c>
      <c r="F31" s="20" t="n">
        <v>300</v>
      </c>
      <c r="G31" s="20" t="n">
        <v>600</v>
      </c>
      <c r="H31" s="20" t="n">
        <v>3000</v>
      </c>
      <c r="I31" s="20" t="n">
        <v>6000</v>
      </c>
      <c r="J31" s="26" t="n">
        <v>0.9</v>
      </c>
      <c r="K31" s="12" t="s">
        <v>193</v>
      </c>
      <c r="L31" s="12" t="s">
        <v>156</v>
      </c>
      <c r="M31" s="12" t="s">
        <v>121</v>
      </c>
      <c r="N31" s="12" t="s">
        <v>122</v>
      </c>
      <c r="O31" s="27" t="n">
        <v>863</v>
      </c>
      <c r="P31" s="27" t="n">
        <v>1993</v>
      </c>
      <c r="Q31" s="27" t="n">
        <v>1760</v>
      </c>
      <c r="R31" s="27" t="n">
        <v>2614</v>
      </c>
    </row>
    <row r="32" customFormat="false" ht="15" hidden="false" customHeight="false" outlineLevel="0" collapsed="false">
      <c r="A32" s="28" t="s">
        <v>38</v>
      </c>
      <c r="B32" s="28" t="s">
        <v>39</v>
      </c>
      <c r="C32" s="28" t="s">
        <v>196</v>
      </c>
      <c r="D32" s="28" t="s">
        <v>197</v>
      </c>
      <c r="E32" s="29" t="s">
        <v>108</v>
      </c>
      <c r="F32" s="30" t="n">
        <v>3400</v>
      </c>
      <c r="G32" s="30" t="n">
        <v>6800</v>
      </c>
      <c r="H32" s="30" t="n">
        <v>5000</v>
      </c>
      <c r="I32" s="30" t="n">
        <v>10000</v>
      </c>
      <c r="J32" s="31" t="n">
        <v>0.8</v>
      </c>
      <c r="K32" s="28" t="s">
        <v>129</v>
      </c>
      <c r="L32" s="28" t="s">
        <v>129</v>
      </c>
      <c r="M32" s="28" t="s">
        <v>198</v>
      </c>
      <c r="N32" s="28" t="s">
        <v>129</v>
      </c>
      <c r="O32" s="32" t="n">
        <v>439.03</v>
      </c>
      <c r="P32" s="32" t="n">
        <v>921.97</v>
      </c>
      <c r="Q32" s="32" t="n">
        <v>834.16</v>
      </c>
      <c r="R32" s="32" t="n">
        <v>1361</v>
      </c>
    </row>
    <row r="33" customFormat="false" ht="15" hidden="false" customHeight="false" outlineLevel="0" collapsed="false">
      <c r="A33" s="12" t="s">
        <v>38</v>
      </c>
      <c r="B33" s="12" t="s">
        <v>199</v>
      </c>
      <c r="C33" s="12" t="s">
        <v>200</v>
      </c>
      <c r="D33" s="12" t="s">
        <v>197</v>
      </c>
      <c r="E33" s="25" t="s">
        <v>118</v>
      </c>
      <c r="F33" s="20" t="n">
        <v>2000</v>
      </c>
      <c r="G33" s="20" t="n">
        <v>4000</v>
      </c>
      <c r="H33" s="20" t="n">
        <v>4000</v>
      </c>
      <c r="I33" s="20" t="n">
        <v>8000</v>
      </c>
      <c r="J33" s="26" t="n">
        <v>0.8</v>
      </c>
      <c r="K33" s="12" t="s">
        <v>193</v>
      </c>
      <c r="L33" s="12" t="s">
        <v>120</v>
      </c>
      <c r="M33" s="12" t="s">
        <v>201</v>
      </c>
      <c r="N33" s="12" t="s">
        <v>202</v>
      </c>
      <c r="O33" s="27" t="n">
        <v>492.11</v>
      </c>
      <c r="P33" s="27" t="n">
        <v>1033.43</v>
      </c>
      <c r="Q33" s="27" t="n">
        <v>934.01</v>
      </c>
      <c r="R33" s="27" t="n">
        <v>1525.54</v>
      </c>
    </row>
    <row r="34" customFormat="false" ht="15" hidden="false" customHeight="false" outlineLevel="0" collapsed="false">
      <c r="A34" s="28" t="s">
        <v>38</v>
      </c>
      <c r="B34" s="28" t="s">
        <v>203</v>
      </c>
      <c r="C34" s="28" t="s">
        <v>204</v>
      </c>
      <c r="D34" s="28" t="s">
        <v>197</v>
      </c>
      <c r="E34" s="29" t="s">
        <v>118</v>
      </c>
      <c r="F34" s="30" t="n">
        <v>1000</v>
      </c>
      <c r="G34" s="30" t="n">
        <v>2000</v>
      </c>
      <c r="H34" s="30" t="n">
        <v>2000</v>
      </c>
      <c r="I34" s="30" t="n">
        <v>4000</v>
      </c>
      <c r="J34" s="31" t="n">
        <v>0.8</v>
      </c>
      <c r="K34" s="28" t="s">
        <v>145</v>
      </c>
      <c r="L34" s="28" t="s">
        <v>137</v>
      </c>
      <c r="M34" s="28" t="s">
        <v>205</v>
      </c>
      <c r="N34" s="28" t="s">
        <v>206</v>
      </c>
      <c r="O34" s="32" t="n">
        <v>546.33</v>
      </c>
      <c r="P34" s="32" t="n">
        <v>1147.29</v>
      </c>
      <c r="Q34" s="32" t="n">
        <v>1038.02</v>
      </c>
      <c r="R34" s="32" t="n">
        <v>1693.61</v>
      </c>
    </row>
    <row r="36" customFormat="false" ht="15" hidden="false" customHeight="false" outlineLevel="0" collapsed="false">
      <c r="A36" s="2" t="s">
        <v>207</v>
      </c>
    </row>
    <row r="37" customFormat="false" ht="15" hidden="false" customHeight="false" outlineLevel="0" collapsed="false">
      <c r="A37" s="2" t="s">
        <v>208</v>
      </c>
    </row>
  </sheetData>
  <mergeCells count="1">
    <mergeCell ref="O3:R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true" outlineLevel="0" max="3" min="3" style="0" width="36"/>
    <col collapsed="false" customWidth="true" hidden="false" outlineLevel="0" max="4" min="4" style="0" width="21"/>
    <col collapsed="false" customWidth="true" hidden="false" outlineLevel="0" max="6" min="5" style="0" width="6"/>
    <col collapsed="false" customWidth="true" hidden="false" outlineLevel="0" max="7" min="7" style="0" width="12"/>
    <col collapsed="false" customWidth="true" hidden="false" outlineLevel="0" max="8" min="8" style="0" width="13"/>
    <col collapsed="false" customWidth="true" hidden="false" outlineLevel="0" max="10" min="9" style="0" width="12"/>
    <col collapsed="false" customWidth="true" hidden="false" outlineLevel="0" max="11" min="11" style="0" width="13"/>
    <col collapsed="false" customWidth="true" hidden="false" outlineLevel="0" max="12" min="12" style="0" width="12"/>
    <col collapsed="false" customWidth="true" hidden="false" outlineLevel="0" max="13" min="13" style="0" width="13"/>
    <col collapsed="false" customWidth="true" hidden="false" outlineLevel="0" max="14" min="14" style="0" width="12"/>
    <col collapsed="false" customWidth="true" hidden="false" outlineLevel="0" max="16" min="15" style="0" width="14"/>
    <col collapsed="false" customWidth="true" hidden="false" outlineLevel="0" max="17" min="17" style="0" width="15"/>
    <col collapsed="false" customWidth="true" hidden="true" outlineLevel="0" max="18" min="18" style="0" width="36"/>
  </cols>
  <sheetData>
    <row r="1" customFormat="false" ht="17.35" hidden="false" customHeight="false" outlineLevel="0" collapsed="false">
      <c r="A1" s="1" t="s">
        <v>209</v>
      </c>
    </row>
    <row r="2" customFormat="false" ht="15" hidden="false" customHeight="false" outlineLevel="0" collapsed="false">
      <c r="A2" s="2" t="s">
        <v>210</v>
      </c>
    </row>
    <row r="4" customFormat="false" ht="42" hidden="false" customHeight="true" outlineLevel="0" collapsed="false">
      <c r="A4" s="10" t="s">
        <v>26</v>
      </c>
      <c r="B4" s="10" t="s">
        <v>92</v>
      </c>
      <c r="C4" s="10" t="s">
        <v>93</v>
      </c>
      <c r="D4" s="10" t="s">
        <v>7</v>
      </c>
      <c r="E4" s="10" t="s">
        <v>8</v>
      </c>
      <c r="F4" s="10" t="s">
        <v>95</v>
      </c>
      <c r="G4" s="10" t="s">
        <v>211</v>
      </c>
      <c r="H4" s="10" t="s">
        <v>212</v>
      </c>
      <c r="I4" s="10" t="s">
        <v>213</v>
      </c>
      <c r="J4" s="10" t="s">
        <v>63</v>
      </c>
      <c r="K4" s="10" t="s">
        <v>65</v>
      </c>
      <c r="L4" s="10" t="s">
        <v>214</v>
      </c>
      <c r="M4" s="10" t="s">
        <v>215</v>
      </c>
      <c r="N4" s="10" t="s">
        <v>216</v>
      </c>
      <c r="O4" s="10" t="s">
        <v>217</v>
      </c>
      <c r="P4" s="10" t="s">
        <v>218</v>
      </c>
      <c r="Q4" s="10" t="s">
        <v>219</v>
      </c>
      <c r="R4" s="10" t="s">
        <v>220</v>
      </c>
    </row>
    <row r="5" customFormat="false" ht="15" hidden="false" customHeight="false" outlineLevel="0" collapsed="false">
      <c r="A5" s="11" t="s">
        <v>32</v>
      </c>
      <c r="B5" s="11" t="s">
        <v>105</v>
      </c>
      <c r="C5" s="11" t="s">
        <v>106</v>
      </c>
      <c r="D5" s="11" t="s">
        <v>12</v>
      </c>
      <c r="E5" s="11" t="s">
        <v>13</v>
      </c>
      <c r="F5" s="33" t="str">
        <f aca="false">INDEX('Plan Design'!$E$5:$E$34,MATCH($C5,'Plan Design'!$C$5:$C$34,0))</f>
        <v>Y</v>
      </c>
      <c r="G5" s="34" t="n">
        <f aca="false">INDEX('Plan Design'!$O$5:$R$34,MATCH($C5,'Plan Design'!$C$5:$C$34,0),MATCH($E5,'Plan Design'!$O$4:$R$4,0))</f>
        <v>640.66</v>
      </c>
      <c r="H5" s="34" t="n">
        <f aca="false">INDEX(Assumptions!$C$10:$C$13,MATCH($E5,Assumptions!$B$10:$B$13,0))</f>
        <v>300</v>
      </c>
      <c r="I5" s="34" t="n">
        <f aca="false">INDEX(Assumptions!$D$18:$D$20,MATCH($A5,Assumptions!$A$18:$A$20,0))</f>
        <v>187.015</v>
      </c>
      <c r="J5" s="19" t="n">
        <f aca="false">MIN($G5,MAX($H5,$I5))</f>
        <v>300</v>
      </c>
      <c r="K5" s="19" t="n">
        <f aca="false">$G5-$J5</f>
        <v>340.66</v>
      </c>
      <c r="L5" s="14" t="n">
        <f aca="false">$J5*12</f>
        <v>3600</v>
      </c>
      <c r="M5" s="14" t="n">
        <f aca="false">$K5*12</f>
        <v>4087.92</v>
      </c>
      <c r="N5" s="35" t="n">
        <f aca="false">IF($G5=0,0,$J5/$G5)</f>
        <v>0.468267099553585</v>
      </c>
      <c r="O5" s="36" t="n">
        <f aca="false">IF($E5="EE",INDEX('Plan Design'!$F$5:$F$34,MATCH($C5,'Plan Design'!$C$5:$C$34,0)),INDEX('Plan Design'!$G$5:$G$34,MATCH($C5,'Plan Design'!$C$5:$C$34,0)))</f>
        <v>2000</v>
      </c>
      <c r="P5" s="36" t="n">
        <f aca="false">IF($E5="EE",INDEX('Plan Design'!$H$5:$H$34,MATCH($C5,'Plan Design'!$C$5:$C$34,0)),INDEX('Plan Design'!$I$5:$I$34,MATCH($C5,'Plan Design'!$C$5:$C$34,0)))</f>
        <v>3500</v>
      </c>
      <c r="Q5" s="37" t="n">
        <f aca="false">$M5+$P5</f>
        <v>7587.92</v>
      </c>
      <c r="R5" s="6" t="str">
        <f aca="false">$C5&amp;"|"&amp;$E5</f>
        <v>ADP|EPO HDHP 2000-100Copay TIF|EE</v>
      </c>
    </row>
    <row r="6" customFormat="false" ht="15" hidden="false" customHeight="false" outlineLevel="0" collapsed="false">
      <c r="A6" s="38" t="s">
        <v>32</v>
      </c>
      <c r="B6" s="38" t="s">
        <v>105</v>
      </c>
      <c r="C6" s="38" t="s">
        <v>106</v>
      </c>
      <c r="D6" s="38" t="s">
        <v>15</v>
      </c>
      <c r="E6" s="38" t="s">
        <v>16</v>
      </c>
      <c r="F6" s="39" t="str">
        <f aca="false">INDEX('Plan Design'!$E$5:$E$34,MATCH($C6,'Plan Design'!$C$5:$C$34,0))</f>
        <v>Y</v>
      </c>
      <c r="G6" s="40" t="n">
        <f aca="false">INDEX('Plan Design'!$O$5:$R$34,MATCH($C6,'Plan Design'!$C$5:$C$34,0),MATCH($E6,'Plan Design'!$O$4:$R$4,0))</f>
        <v>1377.42</v>
      </c>
      <c r="H6" s="40" t="n">
        <f aca="false">INDEX(Assumptions!$C$10:$C$13,MATCH($E6,Assumptions!$B$10:$B$13,0))</f>
        <v>600</v>
      </c>
      <c r="I6" s="40" t="n">
        <f aca="false">INDEX(Assumptions!$D$18:$D$20,MATCH($A6,Assumptions!$A$18:$A$20,0))</f>
        <v>187.015</v>
      </c>
      <c r="J6" s="41" t="n">
        <f aca="false">MIN($G6,MAX($H6,$I6))</f>
        <v>600</v>
      </c>
      <c r="K6" s="41" t="n">
        <f aca="false">$G6-$J6</f>
        <v>777.42</v>
      </c>
      <c r="L6" s="42" t="n">
        <f aca="false">$J6*12</f>
        <v>7200</v>
      </c>
      <c r="M6" s="42" t="n">
        <f aca="false">$K6*12</f>
        <v>9329.04</v>
      </c>
      <c r="N6" s="43" t="n">
        <f aca="false">IF($G6=0,0,$J6/$G6)</f>
        <v>0.435596985668859</v>
      </c>
      <c r="O6" s="44" t="n">
        <f aca="false">IF($E6="EE",INDEX('Plan Design'!$F$5:$F$34,MATCH($C6,'Plan Design'!$C$5:$C$34,0)),INDEX('Plan Design'!$G$5:$G$34,MATCH($C6,'Plan Design'!$C$5:$C$34,0)))</f>
        <v>4000</v>
      </c>
      <c r="P6" s="44" t="n">
        <f aca="false">IF($E6="EE",INDEX('Plan Design'!$H$5:$H$34,MATCH($C6,'Plan Design'!$C$5:$C$34,0)),INDEX('Plan Design'!$I$5:$I$34,MATCH($C6,'Plan Design'!$C$5:$C$34,0)))</f>
        <v>7000</v>
      </c>
      <c r="Q6" s="45" t="n">
        <f aca="false">$M6+$P6</f>
        <v>16329.04</v>
      </c>
      <c r="R6" s="6" t="str">
        <f aca="false">$C6&amp;"|"&amp;$E6</f>
        <v>ADP|EPO HDHP 2000-100Copay TIF|ES</v>
      </c>
    </row>
    <row r="7" customFormat="false" ht="15" hidden="false" customHeight="false" outlineLevel="0" collapsed="false">
      <c r="A7" s="11" t="s">
        <v>32</v>
      </c>
      <c r="B7" s="11" t="s">
        <v>105</v>
      </c>
      <c r="C7" s="11" t="s">
        <v>106</v>
      </c>
      <c r="D7" s="11" t="s">
        <v>18</v>
      </c>
      <c r="E7" s="11" t="s">
        <v>19</v>
      </c>
      <c r="F7" s="33" t="str">
        <f aca="false">INDEX('Plan Design'!$E$5:$E$34,MATCH($C7,'Plan Design'!$C$5:$C$34,0))</f>
        <v>Y</v>
      </c>
      <c r="G7" s="34" t="n">
        <f aca="false">INDEX('Plan Design'!$O$5:$R$34,MATCH($C7,'Plan Design'!$C$5:$C$34,0),MATCH($E7,'Plan Design'!$O$4:$R$4,0))</f>
        <v>1249.28</v>
      </c>
      <c r="H7" s="34" t="n">
        <f aca="false">INDEX(Assumptions!$C$10:$C$13,MATCH($E7,Assumptions!$B$10:$B$13,0))</f>
        <v>600</v>
      </c>
      <c r="I7" s="34" t="n">
        <f aca="false">INDEX(Assumptions!$D$18:$D$20,MATCH($A7,Assumptions!$A$18:$A$20,0))</f>
        <v>187.015</v>
      </c>
      <c r="J7" s="19" t="n">
        <f aca="false">MIN($G7,MAX($H7,$I7))</f>
        <v>600</v>
      </c>
      <c r="K7" s="19" t="n">
        <f aca="false">$G7-$J7</f>
        <v>649.28</v>
      </c>
      <c r="L7" s="14" t="n">
        <f aca="false">$J7*12</f>
        <v>7200</v>
      </c>
      <c r="M7" s="14" t="n">
        <f aca="false">$K7*12</f>
        <v>7791.36</v>
      </c>
      <c r="N7" s="35" t="n">
        <f aca="false">IF($G7=0,0,$J7/$G7)</f>
        <v>0.480276639344262</v>
      </c>
      <c r="O7" s="36" t="n">
        <f aca="false">IF($E7="EE",INDEX('Plan Design'!$F$5:$F$34,MATCH($C7,'Plan Design'!$C$5:$C$34,0)),INDEX('Plan Design'!$G$5:$G$34,MATCH($C7,'Plan Design'!$C$5:$C$34,0)))</f>
        <v>4000</v>
      </c>
      <c r="P7" s="36" t="n">
        <f aca="false">IF($E7="EE",INDEX('Plan Design'!$H$5:$H$34,MATCH($C7,'Plan Design'!$C$5:$C$34,0)),INDEX('Plan Design'!$I$5:$I$34,MATCH($C7,'Plan Design'!$C$5:$C$34,0)))</f>
        <v>7000</v>
      </c>
      <c r="Q7" s="37" t="n">
        <f aca="false">$M7+$P7</f>
        <v>14791.36</v>
      </c>
      <c r="R7" s="6" t="str">
        <f aca="false">$C7&amp;"|"&amp;$E7</f>
        <v>ADP|EPO HDHP 2000-100Copay TIF|EC</v>
      </c>
    </row>
    <row r="8" customFormat="false" ht="15" hidden="false" customHeight="false" outlineLevel="0" collapsed="false">
      <c r="A8" s="38" t="s">
        <v>32</v>
      </c>
      <c r="B8" s="38" t="s">
        <v>105</v>
      </c>
      <c r="C8" s="38" t="s">
        <v>106</v>
      </c>
      <c r="D8" s="38" t="s">
        <v>21</v>
      </c>
      <c r="E8" s="38" t="s">
        <v>22</v>
      </c>
      <c r="F8" s="39" t="str">
        <f aca="false">INDEX('Plan Design'!$E$5:$E$34,MATCH($C8,'Plan Design'!$C$5:$C$34,0))</f>
        <v>Y</v>
      </c>
      <c r="G8" s="40" t="n">
        <f aca="false">INDEX('Plan Design'!$O$5:$R$34,MATCH($C8,'Plan Design'!$C$5:$C$34,0),MATCH($E8,'Plan Design'!$O$4:$R$4,0))</f>
        <v>1986.04</v>
      </c>
      <c r="H8" s="40" t="n">
        <f aca="false">INDEX(Assumptions!$C$10:$C$13,MATCH($E8,Assumptions!$B$10:$B$13,0))</f>
        <v>1000</v>
      </c>
      <c r="I8" s="40" t="n">
        <f aca="false">INDEX(Assumptions!$D$18:$D$20,MATCH($A8,Assumptions!$A$18:$A$20,0))</f>
        <v>187.015</v>
      </c>
      <c r="J8" s="41" t="n">
        <f aca="false">MIN($G8,MAX($H8,$I8))</f>
        <v>1000</v>
      </c>
      <c r="K8" s="41" t="n">
        <f aca="false">$G8-$J8</f>
        <v>986.04</v>
      </c>
      <c r="L8" s="42" t="n">
        <f aca="false">$J8*12</f>
        <v>12000</v>
      </c>
      <c r="M8" s="42" t="n">
        <f aca="false">$K8*12</f>
        <v>11832.48</v>
      </c>
      <c r="N8" s="43" t="n">
        <f aca="false">IF($G8=0,0,$J8/$G8)</f>
        <v>0.503514531429377</v>
      </c>
      <c r="O8" s="44" t="n">
        <f aca="false">IF($E8="EE",INDEX('Plan Design'!$F$5:$F$34,MATCH($C8,'Plan Design'!$C$5:$C$34,0)),INDEX('Plan Design'!$G$5:$G$34,MATCH($C8,'Plan Design'!$C$5:$C$34,0)))</f>
        <v>4000</v>
      </c>
      <c r="P8" s="44" t="n">
        <f aca="false">IF($E8="EE",INDEX('Plan Design'!$H$5:$H$34,MATCH($C8,'Plan Design'!$C$5:$C$34,0)),INDEX('Plan Design'!$I$5:$I$34,MATCH($C8,'Plan Design'!$C$5:$C$34,0)))</f>
        <v>7000</v>
      </c>
      <c r="Q8" s="45" t="n">
        <f aca="false">$M8+$P8</f>
        <v>18832.48</v>
      </c>
      <c r="R8" s="6" t="str">
        <f aca="false">$C8&amp;"|"&amp;$E8</f>
        <v>ADP|EPO HDHP 2000-100Copay TIF|FAM</v>
      </c>
    </row>
    <row r="9" customFormat="false" ht="15" hidden="false" customHeight="false" outlineLevel="0" collapsed="false">
      <c r="A9" s="11" t="s">
        <v>32</v>
      </c>
      <c r="B9" s="11" t="s">
        <v>113</v>
      </c>
      <c r="C9" s="11" t="s">
        <v>114</v>
      </c>
      <c r="D9" s="11" t="s">
        <v>12</v>
      </c>
      <c r="E9" s="11" t="s">
        <v>13</v>
      </c>
      <c r="F9" s="33" t="str">
        <f aca="false">INDEX('Plan Design'!$E$5:$E$34,MATCH($C9,'Plan Design'!$C$5:$C$34,0))</f>
        <v>Y</v>
      </c>
      <c r="G9" s="34" t="n">
        <f aca="false">INDEX('Plan Design'!$O$5:$R$34,MATCH($C9,'Plan Design'!$C$5:$C$34,0),MATCH($E9,'Plan Design'!$O$4:$R$4,0))</f>
        <v>606.87</v>
      </c>
      <c r="H9" s="34" t="n">
        <f aca="false">INDEX(Assumptions!$C$10:$C$13,MATCH($E9,Assumptions!$B$10:$B$13,0))</f>
        <v>300</v>
      </c>
      <c r="I9" s="34" t="n">
        <f aca="false">INDEX(Assumptions!$D$18:$D$20,MATCH($A9,Assumptions!$A$18:$A$20,0))</f>
        <v>187.015</v>
      </c>
      <c r="J9" s="19" t="n">
        <f aca="false">MIN($G9,MAX($H9,$I9))</f>
        <v>300</v>
      </c>
      <c r="K9" s="19" t="n">
        <f aca="false">$G9-$J9</f>
        <v>306.87</v>
      </c>
      <c r="L9" s="14" t="n">
        <f aca="false">$J9*12</f>
        <v>3600</v>
      </c>
      <c r="M9" s="14" t="n">
        <f aca="false">$K9*12</f>
        <v>3682.44</v>
      </c>
      <c r="N9" s="35" t="n">
        <f aca="false">IF($G9=0,0,$J9/$G9)</f>
        <v>0.494339809184834</v>
      </c>
      <c r="O9" s="36" t="n">
        <f aca="false">IF($E9="EE",INDEX('Plan Design'!$F$5:$F$34,MATCH($C9,'Plan Design'!$C$5:$C$34,0)),INDEX('Plan Design'!$G$5:$G$34,MATCH($C9,'Plan Design'!$C$5:$C$34,0)))</f>
        <v>2500</v>
      </c>
      <c r="P9" s="36" t="n">
        <f aca="false">IF($E9="EE",INDEX('Plan Design'!$H$5:$H$34,MATCH($C9,'Plan Design'!$C$5:$C$34,0)),INDEX('Plan Design'!$I$5:$I$34,MATCH($C9,'Plan Design'!$C$5:$C$34,0)))</f>
        <v>3500</v>
      </c>
      <c r="Q9" s="37" t="n">
        <f aca="false">$M9+$P9</f>
        <v>7182.44</v>
      </c>
      <c r="R9" s="6" t="str">
        <f aca="false">$C9&amp;"|"&amp;$E9</f>
        <v>ADP|EPO HDHP 2500-100Copay TIF|EE</v>
      </c>
    </row>
    <row r="10" customFormat="false" ht="15" hidden="false" customHeight="false" outlineLevel="0" collapsed="false">
      <c r="A10" s="38" t="s">
        <v>32</v>
      </c>
      <c r="B10" s="38" t="s">
        <v>113</v>
      </c>
      <c r="C10" s="38" t="s">
        <v>114</v>
      </c>
      <c r="D10" s="38" t="s">
        <v>15</v>
      </c>
      <c r="E10" s="38" t="s">
        <v>16</v>
      </c>
      <c r="F10" s="39" t="str">
        <f aca="false">INDEX('Plan Design'!$E$5:$E$34,MATCH($C10,'Plan Design'!$C$5:$C$34,0))</f>
        <v>Y</v>
      </c>
      <c r="G10" s="40" t="n">
        <f aca="false">INDEX('Plan Design'!$O$5:$R$34,MATCH($C10,'Plan Design'!$C$5:$C$34,0),MATCH($E10,'Plan Design'!$O$4:$R$4,0))</f>
        <v>1304.77</v>
      </c>
      <c r="H10" s="40" t="n">
        <f aca="false">INDEX(Assumptions!$C$10:$C$13,MATCH($E10,Assumptions!$B$10:$B$13,0))</f>
        <v>600</v>
      </c>
      <c r="I10" s="40" t="n">
        <f aca="false">INDEX(Assumptions!$D$18:$D$20,MATCH($A10,Assumptions!$A$18:$A$20,0))</f>
        <v>187.015</v>
      </c>
      <c r="J10" s="41" t="n">
        <f aca="false">MIN($G10,MAX($H10,$I10))</f>
        <v>600</v>
      </c>
      <c r="K10" s="41" t="n">
        <f aca="false">$G10-$J10</f>
        <v>704.77</v>
      </c>
      <c r="L10" s="42" t="n">
        <f aca="false">$J10*12</f>
        <v>7200</v>
      </c>
      <c r="M10" s="42" t="n">
        <f aca="false">$K10*12</f>
        <v>8457.24</v>
      </c>
      <c r="N10" s="43" t="n">
        <f aca="false">IF($G10=0,0,$J10/$G10)</f>
        <v>0.459851161507392</v>
      </c>
      <c r="O10" s="44" t="n">
        <f aca="false">IF($E10="EE",INDEX('Plan Design'!$F$5:$F$34,MATCH($C10,'Plan Design'!$C$5:$C$34,0)),INDEX('Plan Design'!$G$5:$G$34,MATCH($C10,'Plan Design'!$C$5:$C$34,0)))</f>
        <v>5000</v>
      </c>
      <c r="P10" s="44" t="n">
        <f aca="false">IF($E10="EE",INDEX('Plan Design'!$H$5:$H$34,MATCH($C10,'Plan Design'!$C$5:$C$34,0)),INDEX('Plan Design'!$I$5:$I$34,MATCH($C10,'Plan Design'!$C$5:$C$34,0)))</f>
        <v>7000</v>
      </c>
      <c r="Q10" s="45" t="n">
        <f aca="false">$M10+$P10</f>
        <v>15457.24</v>
      </c>
      <c r="R10" s="6" t="str">
        <f aca="false">$C10&amp;"|"&amp;$E10</f>
        <v>ADP|EPO HDHP 2500-100Copay TIF|ES</v>
      </c>
    </row>
    <row r="11" customFormat="false" ht="15" hidden="false" customHeight="false" outlineLevel="0" collapsed="false">
      <c r="A11" s="11" t="s">
        <v>32</v>
      </c>
      <c r="B11" s="11" t="s">
        <v>113</v>
      </c>
      <c r="C11" s="11" t="s">
        <v>114</v>
      </c>
      <c r="D11" s="11" t="s">
        <v>18</v>
      </c>
      <c r="E11" s="11" t="s">
        <v>19</v>
      </c>
      <c r="F11" s="33" t="str">
        <f aca="false">INDEX('Plan Design'!$E$5:$E$34,MATCH($C11,'Plan Design'!$C$5:$C$34,0))</f>
        <v>Y</v>
      </c>
      <c r="G11" s="34" t="n">
        <f aca="false">INDEX('Plan Design'!$O$5:$R$34,MATCH($C11,'Plan Design'!$C$5:$C$34,0),MATCH($E11,'Plan Design'!$O$4:$R$4,0))</f>
        <v>1183.39</v>
      </c>
      <c r="H11" s="34" t="n">
        <f aca="false">INDEX(Assumptions!$C$10:$C$13,MATCH($E11,Assumptions!$B$10:$B$13,0))</f>
        <v>600</v>
      </c>
      <c r="I11" s="34" t="n">
        <f aca="false">INDEX(Assumptions!$D$18:$D$20,MATCH($A11,Assumptions!$A$18:$A$20,0))</f>
        <v>187.015</v>
      </c>
      <c r="J11" s="19" t="n">
        <f aca="false">MIN($G11,MAX($H11,$I11))</f>
        <v>600</v>
      </c>
      <c r="K11" s="19" t="n">
        <f aca="false">$G11-$J11</f>
        <v>583.39</v>
      </c>
      <c r="L11" s="14" t="n">
        <f aca="false">$J11*12</f>
        <v>7200</v>
      </c>
      <c r="M11" s="14" t="n">
        <f aca="false">$K11*12</f>
        <v>7000.68</v>
      </c>
      <c r="N11" s="35" t="n">
        <f aca="false">IF($G11=0,0,$J11/$G11)</f>
        <v>0.507017973787171</v>
      </c>
      <c r="O11" s="36" t="n">
        <f aca="false">IF($E11="EE",INDEX('Plan Design'!$F$5:$F$34,MATCH($C11,'Plan Design'!$C$5:$C$34,0)),INDEX('Plan Design'!$G$5:$G$34,MATCH($C11,'Plan Design'!$C$5:$C$34,0)))</f>
        <v>5000</v>
      </c>
      <c r="P11" s="36" t="n">
        <f aca="false">IF($E11="EE",INDEX('Plan Design'!$H$5:$H$34,MATCH($C11,'Plan Design'!$C$5:$C$34,0)),INDEX('Plan Design'!$I$5:$I$34,MATCH($C11,'Plan Design'!$C$5:$C$34,0)))</f>
        <v>7000</v>
      </c>
      <c r="Q11" s="37" t="n">
        <f aca="false">$M11+$P11</f>
        <v>14000.68</v>
      </c>
      <c r="R11" s="6" t="str">
        <f aca="false">$C11&amp;"|"&amp;$E11</f>
        <v>ADP|EPO HDHP 2500-100Copay TIF|EC</v>
      </c>
    </row>
    <row r="12" customFormat="false" ht="15" hidden="false" customHeight="false" outlineLevel="0" collapsed="false">
      <c r="A12" s="38" t="s">
        <v>32</v>
      </c>
      <c r="B12" s="38" t="s">
        <v>113</v>
      </c>
      <c r="C12" s="38" t="s">
        <v>114</v>
      </c>
      <c r="D12" s="38" t="s">
        <v>21</v>
      </c>
      <c r="E12" s="38" t="s">
        <v>22</v>
      </c>
      <c r="F12" s="39" t="str">
        <f aca="false">INDEX('Plan Design'!$E$5:$E$34,MATCH($C12,'Plan Design'!$C$5:$C$34,0))</f>
        <v>Y</v>
      </c>
      <c r="G12" s="40" t="n">
        <f aca="false">INDEX('Plan Design'!$O$5:$R$34,MATCH($C12,'Plan Design'!$C$5:$C$34,0),MATCH($E12,'Plan Design'!$O$4:$R$4,0))</f>
        <v>1881.29</v>
      </c>
      <c r="H12" s="40" t="n">
        <f aca="false">INDEX(Assumptions!$C$10:$C$13,MATCH($E12,Assumptions!$B$10:$B$13,0))</f>
        <v>1000</v>
      </c>
      <c r="I12" s="40" t="n">
        <f aca="false">INDEX(Assumptions!$D$18:$D$20,MATCH($A12,Assumptions!$A$18:$A$20,0))</f>
        <v>187.015</v>
      </c>
      <c r="J12" s="41" t="n">
        <f aca="false">MIN($G12,MAX($H12,$I12))</f>
        <v>1000</v>
      </c>
      <c r="K12" s="41" t="n">
        <f aca="false">$G12-$J12</f>
        <v>881.29</v>
      </c>
      <c r="L12" s="42" t="n">
        <f aca="false">$J12*12</f>
        <v>12000</v>
      </c>
      <c r="M12" s="42" t="n">
        <f aca="false">$K12*12</f>
        <v>10575.48</v>
      </c>
      <c r="N12" s="43" t="n">
        <f aca="false">IF($G12=0,0,$J12/$G12)</f>
        <v>0.531550159730823</v>
      </c>
      <c r="O12" s="44" t="n">
        <f aca="false">IF($E12="EE",INDEX('Plan Design'!$F$5:$F$34,MATCH($C12,'Plan Design'!$C$5:$C$34,0)),INDEX('Plan Design'!$G$5:$G$34,MATCH($C12,'Plan Design'!$C$5:$C$34,0)))</f>
        <v>5000</v>
      </c>
      <c r="P12" s="44" t="n">
        <f aca="false">IF($E12="EE",INDEX('Plan Design'!$H$5:$H$34,MATCH($C12,'Plan Design'!$C$5:$C$34,0)),INDEX('Plan Design'!$I$5:$I$34,MATCH($C12,'Plan Design'!$C$5:$C$34,0)))</f>
        <v>7000</v>
      </c>
      <c r="Q12" s="45" t="n">
        <f aca="false">$M12+$P12</f>
        <v>17575.48</v>
      </c>
      <c r="R12" s="6" t="str">
        <f aca="false">$C12&amp;"|"&amp;$E12</f>
        <v>ADP|EPO HDHP 2500-100Copay TIF|FAM</v>
      </c>
    </row>
    <row r="13" customFormat="false" ht="15" hidden="false" customHeight="false" outlineLevel="0" collapsed="false">
      <c r="A13" s="11" t="s">
        <v>32</v>
      </c>
      <c r="B13" s="11" t="s">
        <v>115</v>
      </c>
      <c r="C13" s="11" t="s">
        <v>116</v>
      </c>
      <c r="D13" s="11" t="s">
        <v>12</v>
      </c>
      <c r="E13" s="11" t="s">
        <v>13</v>
      </c>
      <c r="F13" s="33" t="str">
        <f aca="false">INDEX('Plan Design'!$E$5:$E$34,MATCH($C13,'Plan Design'!$C$5:$C$34,0))</f>
        <v>N</v>
      </c>
      <c r="G13" s="34" t="n">
        <f aca="false">INDEX('Plan Design'!$O$5:$R$34,MATCH($C13,'Plan Design'!$C$5:$C$34,0),MATCH($E13,'Plan Design'!$O$4:$R$4,0))</f>
        <v>882.91</v>
      </c>
      <c r="H13" s="34" t="n">
        <f aca="false">INDEX(Assumptions!$C$10:$C$13,MATCH($E13,Assumptions!$B$10:$B$13,0))</f>
        <v>300</v>
      </c>
      <c r="I13" s="34" t="n">
        <f aca="false">INDEX(Assumptions!$D$18:$D$20,MATCH($A13,Assumptions!$A$18:$A$20,0))</f>
        <v>187.015</v>
      </c>
      <c r="J13" s="19" t="n">
        <f aca="false">MIN($G13,MAX($H13,$I13))</f>
        <v>300</v>
      </c>
      <c r="K13" s="19" t="n">
        <f aca="false">$G13-$J13</f>
        <v>582.91</v>
      </c>
      <c r="L13" s="14" t="n">
        <f aca="false">$J13*12</f>
        <v>3600</v>
      </c>
      <c r="M13" s="14" t="n">
        <f aca="false">$K13*12</f>
        <v>6994.92</v>
      </c>
      <c r="N13" s="35" t="n">
        <f aca="false">IF($G13=0,0,$J13/$G13)</f>
        <v>0.339785482098968</v>
      </c>
      <c r="O13" s="36" t="n">
        <f aca="false">IF($E13="EE",INDEX('Plan Design'!$F$5:$F$34,MATCH($C13,'Plan Design'!$C$5:$C$34,0)),INDEX('Plan Design'!$G$5:$G$34,MATCH($C13,'Plan Design'!$C$5:$C$34,0)))</f>
        <v>500</v>
      </c>
      <c r="P13" s="36" t="n">
        <f aca="false">IF($E13="EE",INDEX('Plan Design'!$H$5:$H$34,MATCH($C13,'Plan Design'!$C$5:$C$34,0)),INDEX('Plan Design'!$I$5:$I$34,MATCH($C13,'Plan Design'!$C$5:$C$34,0)))</f>
        <v>3500</v>
      </c>
      <c r="Q13" s="37" t="n">
        <f aca="false">$M13+$P13</f>
        <v>10494.92</v>
      </c>
      <c r="R13" s="6" t="str">
        <f aca="false">$C13&amp;"|"&amp;$E13</f>
        <v>ADP|NATIONAL OA MC 500-80%|EE</v>
      </c>
    </row>
    <row r="14" customFormat="false" ht="15" hidden="false" customHeight="false" outlineLevel="0" collapsed="false">
      <c r="A14" s="38" t="s">
        <v>32</v>
      </c>
      <c r="B14" s="38" t="s">
        <v>115</v>
      </c>
      <c r="C14" s="38" t="s">
        <v>116</v>
      </c>
      <c r="D14" s="38" t="s">
        <v>15</v>
      </c>
      <c r="E14" s="38" t="s">
        <v>16</v>
      </c>
      <c r="F14" s="39" t="str">
        <f aca="false">INDEX('Plan Design'!$E$5:$E$34,MATCH($C14,'Plan Design'!$C$5:$C$34,0))</f>
        <v>N</v>
      </c>
      <c r="G14" s="40" t="n">
        <f aca="false">INDEX('Plan Design'!$O$5:$R$34,MATCH($C14,'Plan Design'!$C$5:$C$34,0),MATCH($E14,'Plan Design'!$O$4:$R$4,0))</f>
        <v>1898.25</v>
      </c>
      <c r="H14" s="40" t="n">
        <f aca="false">INDEX(Assumptions!$C$10:$C$13,MATCH($E14,Assumptions!$B$10:$B$13,0))</f>
        <v>600</v>
      </c>
      <c r="I14" s="40" t="n">
        <f aca="false">INDEX(Assumptions!$D$18:$D$20,MATCH($A14,Assumptions!$A$18:$A$20,0))</f>
        <v>187.015</v>
      </c>
      <c r="J14" s="41" t="n">
        <f aca="false">MIN($G14,MAX($H14,$I14))</f>
        <v>600</v>
      </c>
      <c r="K14" s="41" t="n">
        <f aca="false">$G14-$J14</f>
        <v>1298.25</v>
      </c>
      <c r="L14" s="42" t="n">
        <f aca="false">$J14*12</f>
        <v>7200</v>
      </c>
      <c r="M14" s="42" t="n">
        <f aca="false">$K14*12</f>
        <v>15579</v>
      </c>
      <c r="N14" s="43" t="n">
        <f aca="false">IF($G14=0,0,$J14/$G14)</f>
        <v>0.316080600553141</v>
      </c>
      <c r="O14" s="44" t="n">
        <f aca="false">IF($E14="EE",INDEX('Plan Design'!$F$5:$F$34,MATCH($C14,'Plan Design'!$C$5:$C$34,0)),INDEX('Plan Design'!$G$5:$G$34,MATCH($C14,'Plan Design'!$C$5:$C$34,0)))</f>
        <v>1000</v>
      </c>
      <c r="P14" s="44" t="n">
        <f aca="false">IF($E14="EE",INDEX('Plan Design'!$H$5:$H$34,MATCH($C14,'Plan Design'!$C$5:$C$34,0)),INDEX('Plan Design'!$I$5:$I$34,MATCH($C14,'Plan Design'!$C$5:$C$34,0)))</f>
        <v>7000</v>
      </c>
      <c r="Q14" s="45" t="n">
        <f aca="false">$M14+$P14</f>
        <v>22579</v>
      </c>
      <c r="R14" s="6" t="str">
        <f aca="false">$C14&amp;"|"&amp;$E14</f>
        <v>ADP|NATIONAL OA MC 500-80%|ES</v>
      </c>
    </row>
    <row r="15" customFormat="false" ht="15" hidden="false" customHeight="false" outlineLevel="0" collapsed="false">
      <c r="A15" s="11" t="s">
        <v>32</v>
      </c>
      <c r="B15" s="11" t="s">
        <v>115</v>
      </c>
      <c r="C15" s="11" t="s">
        <v>116</v>
      </c>
      <c r="D15" s="11" t="s">
        <v>18</v>
      </c>
      <c r="E15" s="11" t="s">
        <v>19</v>
      </c>
      <c r="F15" s="33" t="str">
        <f aca="false">INDEX('Plan Design'!$E$5:$E$34,MATCH($C15,'Plan Design'!$C$5:$C$34,0))</f>
        <v>N</v>
      </c>
      <c r="G15" s="34" t="n">
        <f aca="false">INDEX('Plan Design'!$O$5:$R$34,MATCH($C15,'Plan Design'!$C$5:$C$34,0),MATCH($E15,'Plan Design'!$O$4:$R$4,0))</f>
        <v>1721.67</v>
      </c>
      <c r="H15" s="34" t="n">
        <f aca="false">INDEX(Assumptions!$C$10:$C$13,MATCH($E15,Assumptions!$B$10:$B$13,0))</f>
        <v>600</v>
      </c>
      <c r="I15" s="34" t="n">
        <f aca="false">INDEX(Assumptions!$D$18:$D$20,MATCH($A15,Assumptions!$A$18:$A$20,0))</f>
        <v>187.015</v>
      </c>
      <c r="J15" s="19" t="n">
        <f aca="false">MIN($G15,MAX($H15,$I15))</f>
        <v>600</v>
      </c>
      <c r="K15" s="19" t="n">
        <f aca="false">$G15-$J15</f>
        <v>1121.67</v>
      </c>
      <c r="L15" s="14" t="n">
        <f aca="false">$J15*12</f>
        <v>7200</v>
      </c>
      <c r="M15" s="14" t="n">
        <f aca="false">$K15*12</f>
        <v>13460.04</v>
      </c>
      <c r="N15" s="35" t="n">
        <f aca="false">IF($G15=0,0,$J15/$G15)</f>
        <v>0.348498841241353</v>
      </c>
      <c r="O15" s="36" t="n">
        <f aca="false">IF($E15="EE",INDEX('Plan Design'!$F$5:$F$34,MATCH($C15,'Plan Design'!$C$5:$C$34,0)),INDEX('Plan Design'!$G$5:$G$34,MATCH($C15,'Plan Design'!$C$5:$C$34,0)))</f>
        <v>1000</v>
      </c>
      <c r="P15" s="36" t="n">
        <f aca="false">IF($E15="EE",INDEX('Plan Design'!$H$5:$H$34,MATCH($C15,'Plan Design'!$C$5:$C$34,0)),INDEX('Plan Design'!$I$5:$I$34,MATCH($C15,'Plan Design'!$C$5:$C$34,0)))</f>
        <v>7000</v>
      </c>
      <c r="Q15" s="37" t="n">
        <f aca="false">$M15+$P15</f>
        <v>20460.04</v>
      </c>
      <c r="R15" s="6" t="str">
        <f aca="false">$C15&amp;"|"&amp;$E15</f>
        <v>ADP|NATIONAL OA MC 500-80%|EC</v>
      </c>
    </row>
    <row r="16" customFormat="false" ht="15" hidden="false" customHeight="false" outlineLevel="0" collapsed="false">
      <c r="A16" s="38" t="s">
        <v>32</v>
      </c>
      <c r="B16" s="38" t="s">
        <v>115</v>
      </c>
      <c r="C16" s="38" t="s">
        <v>116</v>
      </c>
      <c r="D16" s="38" t="s">
        <v>21</v>
      </c>
      <c r="E16" s="38" t="s">
        <v>22</v>
      </c>
      <c r="F16" s="39" t="str">
        <f aca="false">INDEX('Plan Design'!$E$5:$E$34,MATCH($C16,'Plan Design'!$C$5:$C$34,0))</f>
        <v>N</v>
      </c>
      <c r="G16" s="40" t="n">
        <f aca="false">INDEX('Plan Design'!$O$5:$R$34,MATCH($C16,'Plan Design'!$C$5:$C$34,0),MATCH($E16,'Plan Design'!$O$4:$R$4,0))</f>
        <v>2737.01</v>
      </c>
      <c r="H16" s="40" t="n">
        <f aca="false">INDEX(Assumptions!$C$10:$C$13,MATCH($E16,Assumptions!$B$10:$B$13,0))</f>
        <v>1000</v>
      </c>
      <c r="I16" s="40" t="n">
        <f aca="false">INDEX(Assumptions!$D$18:$D$20,MATCH($A16,Assumptions!$A$18:$A$20,0))</f>
        <v>187.015</v>
      </c>
      <c r="J16" s="41" t="n">
        <f aca="false">MIN($G16,MAX($H16,$I16))</f>
        <v>1000</v>
      </c>
      <c r="K16" s="41" t="n">
        <f aca="false">$G16-$J16</f>
        <v>1737.01</v>
      </c>
      <c r="L16" s="42" t="n">
        <f aca="false">$J16*12</f>
        <v>12000</v>
      </c>
      <c r="M16" s="42" t="n">
        <f aca="false">$K16*12</f>
        <v>20844.12</v>
      </c>
      <c r="N16" s="43" t="n">
        <f aca="false">IF($G16=0,0,$J16/$G16)</f>
        <v>0.365362201818773</v>
      </c>
      <c r="O16" s="44" t="n">
        <f aca="false">IF($E16="EE",INDEX('Plan Design'!$F$5:$F$34,MATCH($C16,'Plan Design'!$C$5:$C$34,0)),INDEX('Plan Design'!$G$5:$G$34,MATCH($C16,'Plan Design'!$C$5:$C$34,0)))</f>
        <v>1000</v>
      </c>
      <c r="P16" s="44" t="n">
        <f aca="false">IF($E16="EE",INDEX('Plan Design'!$H$5:$H$34,MATCH($C16,'Plan Design'!$C$5:$C$34,0)),INDEX('Plan Design'!$I$5:$I$34,MATCH($C16,'Plan Design'!$C$5:$C$34,0)))</f>
        <v>7000</v>
      </c>
      <c r="Q16" s="45" t="n">
        <f aca="false">$M16+$P16</f>
        <v>27844.12</v>
      </c>
      <c r="R16" s="6" t="str">
        <f aca="false">$C16&amp;"|"&amp;$E16</f>
        <v>ADP|NATIONAL OA MC 500-80%|FAM</v>
      </c>
    </row>
    <row r="17" customFormat="false" ht="15" hidden="false" customHeight="false" outlineLevel="0" collapsed="false">
      <c r="A17" s="11" t="s">
        <v>32</v>
      </c>
      <c r="B17" s="11" t="s">
        <v>123</v>
      </c>
      <c r="C17" s="11" t="s">
        <v>124</v>
      </c>
      <c r="D17" s="11" t="s">
        <v>12</v>
      </c>
      <c r="E17" s="11" t="s">
        <v>13</v>
      </c>
      <c r="F17" s="33" t="str">
        <f aca="false">INDEX('Plan Design'!$E$5:$E$34,MATCH($C17,'Plan Design'!$C$5:$C$34,0))</f>
        <v>N</v>
      </c>
      <c r="G17" s="34" t="n">
        <f aca="false">INDEX('Plan Design'!$O$5:$R$34,MATCH($C17,'Plan Design'!$C$5:$C$34,0),MATCH($E17,'Plan Design'!$O$4:$R$4,0))</f>
        <v>768.21</v>
      </c>
      <c r="H17" s="34" t="n">
        <f aca="false">INDEX(Assumptions!$C$10:$C$13,MATCH($E17,Assumptions!$B$10:$B$13,0))</f>
        <v>300</v>
      </c>
      <c r="I17" s="34" t="n">
        <f aca="false">INDEX(Assumptions!$D$18:$D$20,MATCH($A17,Assumptions!$A$18:$A$20,0))</f>
        <v>187.015</v>
      </c>
      <c r="J17" s="19" t="n">
        <f aca="false">MIN($G17,MAX($H17,$I17))</f>
        <v>300</v>
      </c>
      <c r="K17" s="19" t="n">
        <f aca="false">$G17-$J17</f>
        <v>468.21</v>
      </c>
      <c r="L17" s="14" t="n">
        <f aca="false">$J17*12</f>
        <v>3600</v>
      </c>
      <c r="M17" s="14" t="n">
        <f aca="false">$K17*12</f>
        <v>5618.52</v>
      </c>
      <c r="N17" s="35" t="n">
        <f aca="false">IF($G17=0,0,$J17/$G17)</f>
        <v>0.390518217674855</v>
      </c>
      <c r="O17" s="36" t="n">
        <f aca="false">IF($E17="EE",INDEX('Plan Design'!$F$5:$F$34,MATCH($C17,'Plan Design'!$C$5:$C$34,0)),INDEX('Plan Design'!$G$5:$G$34,MATCH($C17,'Plan Design'!$C$5:$C$34,0)))</f>
        <v>1000</v>
      </c>
      <c r="P17" s="36" t="n">
        <f aca="false">IF($E17="EE",INDEX('Plan Design'!$H$5:$H$34,MATCH($C17,'Plan Design'!$C$5:$C$34,0)),INDEX('Plan Design'!$I$5:$I$34,MATCH($C17,'Plan Design'!$C$5:$C$34,0)))</f>
        <v>4500</v>
      </c>
      <c r="Q17" s="37" t="n">
        <f aca="false">$M17+$P17</f>
        <v>10118.52</v>
      </c>
      <c r="R17" s="6" t="str">
        <f aca="false">$C17&amp;"|"&amp;$E17</f>
        <v>ADP|NATIONAL OA MC 1000-80%|EE</v>
      </c>
    </row>
    <row r="18" customFormat="false" ht="15" hidden="false" customHeight="false" outlineLevel="0" collapsed="false">
      <c r="A18" s="38" t="s">
        <v>32</v>
      </c>
      <c r="B18" s="38" t="s">
        <v>123</v>
      </c>
      <c r="C18" s="38" t="s">
        <v>124</v>
      </c>
      <c r="D18" s="38" t="s">
        <v>15</v>
      </c>
      <c r="E18" s="38" t="s">
        <v>16</v>
      </c>
      <c r="F18" s="39" t="str">
        <f aca="false">INDEX('Plan Design'!$E$5:$E$34,MATCH($C18,'Plan Design'!$C$5:$C$34,0))</f>
        <v>N</v>
      </c>
      <c r="G18" s="40" t="n">
        <f aca="false">INDEX('Plan Design'!$O$5:$R$34,MATCH($C18,'Plan Design'!$C$5:$C$34,0),MATCH($E18,'Plan Design'!$O$4:$R$4,0))</f>
        <v>1651.66</v>
      </c>
      <c r="H18" s="40" t="n">
        <f aca="false">INDEX(Assumptions!$C$10:$C$13,MATCH($E18,Assumptions!$B$10:$B$13,0))</f>
        <v>600</v>
      </c>
      <c r="I18" s="40" t="n">
        <f aca="false">INDEX(Assumptions!$D$18:$D$20,MATCH($A18,Assumptions!$A$18:$A$20,0))</f>
        <v>187.015</v>
      </c>
      <c r="J18" s="41" t="n">
        <f aca="false">MIN($G18,MAX($H18,$I18))</f>
        <v>600</v>
      </c>
      <c r="K18" s="41" t="n">
        <f aca="false">$G18-$J18</f>
        <v>1051.66</v>
      </c>
      <c r="L18" s="42" t="n">
        <f aca="false">$J18*12</f>
        <v>7200</v>
      </c>
      <c r="M18" s="42" t="n">
        <f aca="false">$K18*12</f>
        <v>12619.92</v>
      </c>
      <c r="N18" s="43" t="n">
        <f aca="false">IF($G18=0,0,$J18/$G18)</f>
        <v>0.363270891103496</v>
      </c>
      <c r="O18" s="44" t="n">
        <f aca="false">IF($E18="EE",INDEX('Plan Design'!$F$5:$F$34,MATCH($C18,'Plan Design'!$C$5:$C$34,0)),INDEX('Plan Design'!$G$5:$G$34,MATCH($C18,'Plan Design'!$C$5:$C$34,0)))</f>
        <v>2000</v>
      </c>
      <c r="P18" s="44" t="n">
        <f aca="false">IF($E18="EE",INDEX('Plan Design'!$H$5:$H$34,MATCH($C18,'Plan Design'!$C$5:$C$34,0)),INDEX('Plan Design'!$I$5:$I$34,MATCH($C18,'Plan Design'!$C$5:$C$34,0)))</f>
        <v>9000</v>
      </c>
      <c r="Q18" s="45" t="n">
        <f aca="false">$M18+$P18</f>
        <v>21619.92</v>
      </c>
      <c r="R18" s="6" t="str">
        <f aca="false">$C18&amp;"|"&amp;$E18</f>
        <v>ADP|NATIONAL OA MC 1000-80%|ES</v>
      </c>
    </row>
    <row r="19" customFormat="false" ht="15" hidden="false" customHeight="false" outlineLevel="0" collapsed="false">
      <c r="A19" s="11" t="s">
        <v>32</v>
      </c>
      <c r="B19" s="11" t="s">
        <v>123</v>
      </c>
      <c r="C19" s="11" t="s">
        <v>124</v>
      </c>
      <c r="D19" s="11" t="s">
        <v>18</v>
      </c>
      <c r="E19" s="11" t="s">
        <v>19</v>
      </c>
      <c r="F19" s="33" t="str">
        <f aca="false">INDEX('Plan Design'!$E$5:$E$34,MATCH($C19,'Plan Design'!$C$5:$C$34,0))</f>
        <v>N</v>
      </c>
      <c r="G19" s="34" t="n">
        <f aca="false">INDEX('Plan Design'!$O$5:$R$34,MATCH($C19,'Plan Design'!$C$5:$C$34,0),MATCH($E19,'Plan Design'!$O$4:$R$4,0))</f>
        <v>1498.01</v>
      </c>
      <c r="H19" s="34" t="n">
        <f aca="false">INDEX(Assumptions!$C$10:$C$13,MATCH($E19,Assumptions!$B$10:$B$13,0))</f>
        <v>600</v>
      </c>
      <c r="I19" s="34" t="n">
        <f aca="false">INDEX(Assumptions!$D$18:$D$20,MATCH($A19,Assumptions!$A$18:$A$20,0))</f>
        <v>187.015</v>
      </c>
      <c r="J19" s="19" t="n">
        <f aca="false">MIN($G19,MAX($H19,$I19))</f>
        <v>600</v>
      </c>
      <c r="K19" s="19" t="n">
        <f aca="false">$G19-$J19</f>
        <v>898.01</v>
      </c>
      <c r="L19" s="14" t="n">
        <f aca="false">$J19*12</f>
        <v>7200</v>
      </c>
      <c r="M19" s="14" t="n">
        <f aca="false">$K19*12</f>
        <v>10776.12</v>
      </c>
      <c r="N19" s="35" t="n">
        <f aca="false">IF($G19=0,0,$J19/$G19)</f>
        <v>0.400531371619682</v>
      </c>
      <c r="O19" s="36" t="n">
        <f aca="false">IF($E19="EE",INDEX('Plan Design'!$F$5:$F$34,MATCH($C19,'Plan Design'!$C$5:$C$34,0)),INDEX('Plan Design'!$G$5:$G$34,MATCH($C19,'Plan Design'!$C$5:$C$34,0)))</f>
        <v>2000</v>
      </c>
      <c r="P19" s="36" t="n">
        <f aca="false">IF($E19="EE",INDEX('Plan Design'!$H$5:$H$34,MATCH($C19,'Plan Design'!$C$5:$C$34,0)),INDEX('Plan Design'!$I$5:$I$34,MATCH($C19,'Plan Design'!$C$5:$C$34,0)))</f>
        <v>9000</v>
      </c>
      <c r="Q19" s="37" t="n">
        <f aca="false">$M19+$P19</f>
        <v>19776.12</v>
      </c>
      <c r="R19" s="6" t="str">
        <f aca="false">$C19&amp;"|"&amp;$E19</f>
        <v>ADP|NATIONAL OA MC 1000-80%|EC</v>
      </c>
    </row>
    <row r="20" customFormat="false" ht="15" hidden="false" customHeight="false" outlineLevel="0" collapsed="false">
      <c r="A20" s="38" t="s">
        <v>32</v>
      </c>
      <c r="B20" s="38" t="s">
        <v>123</v>
      </c>
      <c r="C20" s="38" t="s">
        <v>124</v>
      </c>
      <c r="D20" s="38" t="s">
        <v>21</v>
      </c>
      <c r="E20" s="38" t="s">
        <v>22</v>
      </c>
      <c r="F20" s="39" t="str">
        <f aca="false">INDEX('Plan Design'!$E$5:$E$34,MATCH($C20,'Plan Design'!$C$5:$C$34,0))</f>
        <v>N</v>
      </c>
      <c r="G20" s="40" t="n">
        <f aca="false">INDEX('Plan Design'!$O$5:$R$34,MATCH($C20,'Plan Design'!$C$5:$C$34,0),MATCH($E20,'Plan Design'!$O$4:$R$4,0))</f>
        <v>2381.46</v>
      </c>
      <c r="H20" s="40" t="n">
        <f aca="false">INDEX(Assumptions!$C$10:$C$13,MATCH($E20,Assumptions!$B$10:$B$13,0))</f>
        <v>1000</v>
      </c>
      <c r="I20" s="40" t="n">
        <f aca="false">INDEX(Assumptions!$D$18:$D$20,MATCH($A20,Assumptions!$A$18:$A$20,0))</f>
        <v>187.015</v>
      </c>
      <c r="J20" s="41" t="n">
        <f aca="false">MIN($G20,MAX($H20,$I20))</f>
        <v>1000</v>
      </c>
      <c r="K20" s="41" t="n">
        <f aca="false">$G20-$J20</f>
        <v>1381.46</v>
      </c>
      <c r="L20" s="42" t="n">
        <f aca="false">$J20*12</f>
        <v>12000</v>
      </c>
      <c r="M20" s="42" t="n">
        <f aca="false">$K20*12</f>
        <v>16577.52</v>
      </c>
      <c r="N20" s="43" t="n">
        <f aca="false">IF($G20=0,0,$J20/$G20)</f>
        <v>0.419910475086712</v>
      </c>
      <c r="O20" s="44" t="n">
        <f aca="false">IF($E20="EE",INDEX('Plan Design'!$F$5:$F$34,MATCH($C20,'Plan Design'!$C$5:$C$34,0)),INDEX('Plan Design'!$G$5:$G$34,MATCH($C20,'Plan Design'!$C$5:$C$34,0)))</f>
        <v>2000</v>
      </c>
      <c r="P20" s="44" t="n">
        <f aca="false">IF($E20="EE",INDEX('Plan Design'!$H$5:$H$34,MATCH($C20,'Plan Design'!$C$5:$C$34,0)),INDEX('Plan Design'!$I$5:$I$34,MATCH($C20,'Plan Design'!$C$5:$C$34,0)))</f>
        <v>9000</v>
      </c>
      <c r="Q20" s="45" t="n">
        <f aca="false">$M20+$P20</f>
        <v>25577.52</v>
      </c>
      <c r="R20" s="6" t="str">
        <f aca="false">$C20&amp;"|"&amp;$E20</f>
        <v>ADP|NATIONAL OA MC 1000-80%|FAM</v>
      </c>
    </row>
    <row r="21" customFormat="false" ht="15" hidden="false" customHeight="false" outlineLevel="0" collapsed="false">
      <c r="A21" s="11" t="s">
        <v>32</v>
      </c>
      <c r="B21" s="11" t="s">
        <v>126</v>
      </c>
      <c r="C21" s="11" t="s">
        <v>127</v>
      </c>
      <c r="D21" s="11" t="s">
        <v>12</v>
      </c>
      <c r="E21" s="11" t="s">
        <v>13</v>
      </c>
      <c r="F21" s="33" t="str">
        <f aca="false">INDEX('Plan Design'!$E$5:$E$34,MATCH($C21,'Plan Design'!$C$5:$C$34,0))</f>
        <v>Y</v>
      </c>
      <c r="G21" s="34" t="n">
        <f aca="false">INDEX('Plan Design'!$O$5:$R$34,MATCH($C21,'Plan Design'!$C$5:$C$34,0),MATCH($E21,'Plan Design'!$O$4:$R$4,0))</f>
        <v>490.12</v>
      </c>
      <c r="H21" s="34" t="n">
        <f aca="false">INDEX(Assumptions!$C$10:$C$13,MATCH($E21,Assumptions!$B$10:$B$13,0))</f>
        <v>300</v>
      </c>
      <c r="I21" s="34" t="n">
        <f aca="false">INDEX(Assumptions!$D$18:$D$20,MATCH($A21,Assumptions!$A$18:$A$20,0))</f>
        <v>187.015</v>
      </c>
      <c r="J21" s="19" t="n">
        <f aca="false">MIN($G21,MAX($H21,$I21))</f>
        <v>300</v>
      </c>
      <c r="K21" s="19" t="n">
        <f aca="false">$G21-$J21</f>
        <v>190.12</v>
      </c>
      <c r="L21" s="14" t="n">
        <f aca="false">$J21*12</f>
        <v>3600</v>
      </c>
      <c r="M21" s="14" t="n">
        <f aca="false">$K21*12</f>
        <v>2281.44</v>
      </c>
      <c r="N21" s="35" t="n">
        <f aca="false">IF($G21=0,0,$J21/$G21)</f>
        <v>0.612094997143557</v>
      </c>
      <c r="O21" s="36" t="n">
        <f aca="false">IF($E21="EE",INDEX('Plan Design'!$F$5:$F$34,MATCH($C21,'Plan Design'!$C$5:$C$34,0)),INDEX('Plan Design'!$G$5:$G$34,MATCH($C21,'Plan Design'!$C$5:$C$34,0)))</f>
        <v>3500</v>
      </c>
      <c r="P21" s="36" t="n">
        <f aca="false">IF($E21="EE",INDEX('Plan Design'!$H$5:$H$34,MATCH($C21,'Plan Design'!$C$5:$C$34,0)),INDEX('Plan Design'!$I$5:$I$34,MATCH($C21,'Plan Design'!$C$5:$C$34,0)))</f>
        <v>6350</v>
      </c>
      <c r="Q21" s="37" t="n">
        <f aca="false">$M21+$P21</f>
        <v>8631.44</v>
      </c>
      <c r="R21" s="6" t="str">
        <f aca="false">$C21&amp;"|"&amp;$E21</f>
        <v>ADP|OA EPO HDHP 3500-80%|EE</v>
      </c>
    </row>
    <row r="22" customFormat="false" ht="15" hidden="false" customHeight="false" outlineLevel="0" collapsed="false">
      <c r="A22" s="38" t="s">
        <v>32</v>
      </c>
      <c r="B22" s="38" t="s">
        <v>126</v>
      </c>
      <c r="C22" s="38" t="s">
        <v>127</v>
      </c>
      <c r="D22" s="38" t="s">
        <v>15</v>
      </c>
      <c r="E22" s="38" t="s">
        <v>16</v>
      </c>
      <c r="F22" s="39" t="str">
        <f aca="false">INDEX('Plan Design'!$E$5:$E$34,MATCH($C22,'Plan Design'!$C$5:$C$34,0))</f>
        <v>Y</v>
      </c>
      <c r="G22" s="40" t="n">
        <f aca="false">INDEX('Plan Design'!$O$5:$R$34,MATCH($C22,'Plan Design'!$C$5:$C$34,0),MATCH($E22,'Plan Design'!$O$4:$R$4,0))</f>
        <v>1053.75</v>
      </c>
      <c r="H22" s="40" t="n">
        <f aca="false">INDEX(Assumptions!$C$10:$C$13,MATCH($E22,Assumptions!$B$10:$B$13,0))</f>
        <v>600</v>
      </c>
      <c r="I22" s="40" t="n">
        <f aca="false">INDEX(Assumptions!$D$18:$D$20,MATCH($A22,Assumptions!$A$18:$A$20,0))</f>
        <v>187.015</v>
      </c>
      <c r="J22" s="41" t="n">
        <f aca="false">MIN($G22,MAX($H22,$I22))</f>
        <v>600</v>
      </c>
      <c r="K22" s="41" t="n">
        <f aca="false">$G22-$J22</f>
        <v>453.75</v>
      </c>
      <c r="L22" s="42" t="n">
        <f aca="false">$J22*12</f>
        <v>7200</v>
      </c>
      <c r="M22" s="42" t="n">
        <f aca="false">$K22*12</f>
        <v>5445</v>
      </c>
      <c r="N22" s="43" t="n">
        <f aca="false">IF($G22=0,0,$J22/$G22)</f>
        <v>0.569395017793594</v>
      </c>
      <c r="O22" s="44" t="n">
        <f aca="false">IF($E22="EE",INDEX('Plan Design'!$F$5:$F$34,MATCH($C22,'Plan Design'!$C$5:$C$34,0)),INDEX('Plan Design'!$G$5:$G$34,MATCH($C22,'Plan Design'!$C$5:$C$34,0)))</f>
        <v>7000</v>
      </c>
      <c r="P22" s="44" t="n">
        <f aca="false">IF($E22="EE",INDEX('Plan Design'!$H$5:$H$34,MATCH($C22,'Plan Design'!$C$5:$C$34,0)),INDEX('Plan Design'!$I$5:$I$34,MATCH($C22,'Plan Design'!$C$5:$C$34,0)))</f>
        <v>12700</v>
      </c>
      <c r="Q22" s="45" t="n">
        <f aca="false">$M22+$P22</f>
        <v>18145</v>
      </c>
      <c r="R22" s="6" t="str">
        <f aca="false">$C22&amp;"|"&amp;$E22</f>
        <v>ADP|OA EPO HDHP 3500-80%|ES</v>
      </c>
    </row>
    <row r="23" customFormat="false" ht="15" hidden="false" customHeight="false" outlineLevel="0" collapsed="false">
      <c r="A23" s="11" t="s">
        <v>32</v>
      </c>
      <c r="B23" s="11" t="s">
        <v>126</v>
      </c>
      <c r="C23" s="11" t="s">
        <v>127</v>
      </c>
      <c r="D23" s="11" t="s">
        <v>18</v>
      </c>
      <c r="E23" s="11" t="s">
        <v>19</v>
      </c>
      <c r="F23" s="33" t="str">
        <f aca="false">INDEX('Plan Design'!$E$5:$E$34,MATCH($C23,'Plan Design'!$C$5:$C$34,0))</f>
        <v>Y</v>
      </c>
      <c r="G23" s="34" t="n">
        <f aca="false">INDEX('Plan Design'!$O$5:$R$34,MATCH($C23,'Plan Design'!$C$5:$C$34,0),MATCH($E23,'Plan Design'!$O$4:$R$4,0))</f>
        <v>955.73</v>
      </c>
      <c r="H23" s="34" t="n">
        <f aca="false">INDEX(Assumptions!$C$10:$C$13,MATCH($E23,Assumptions!$B$10:$B$13,0))</f>
        <v>600</v>
      </c>
      <c r="I23" s="34" t="n">
        <f aca="false">INDEX(Assumptions!$D$18:$D$20,MATCH($A23,Assumptions!$A$18:$A$20,0))</f>
        <v>187.015</v>
      </c>
      <c r="J23" s="19" t="n">
        <f aca="false">MIN($G23,MAX($H23,$I23))</f>
        <v>600</v>
      </c>
      <c r="K23" s="19" t="n">
        <f aca="false">$G23-$J23</f>
        <v>355.73</v>
      </c>
      <c r="L23" s="14" t="n">
        <f aca="false">$J23*12</f>
        <v>7200</v>
      </c>
      <c r="M23" s="14" t="n">
        <f aca="false">$K23*12</f>
        <v>4268.76</v>
      </c>
      <c r="N23" s="35" t="n">
        <f aca="false">IF($G23=0,0,$J23/$G23)</f>
        <v>0.627792368137445</v>
      </c>
      <c r="O23" s="36" t="n">
        <f aca="false">IF($E23="EE",INDEX('Plan Design'!$F$5:$F$34,MATCH($C23,'Plan Design'!$C$5:$C$34,0)),INDEX('Plan Design'!$G$5:$G$34,MATCH($C23,'Plan Design'!$C$5:$C$34,0)))</f>
        <v>7000</v>
      </c>
      <c r="P23" s="36" t="n">
        <f aca="false">IF($E23="EE",INDEX('Plan Design'!$H$5:$H$34,MATCH($C23,'Plan Design'!$C$5:$C$34,0)),INDEX('Plan Design'!$I$5:$I$34,MATCH($C23,'Plan Design'!$C$5:$C$34,0)))</f>
        <v>12700</v>
      </c>
      <c r="Q23" s="37" t="n">
        <f aca="false">$M23+$P23</f>
        <v>16968.76</v>
      </c>
      <c r="R23" s="6" t="str">
        <f aca="false">$C23&amp;"|"&amp;$E23</f>
        <v>ADP|OA EPO HDHP 3500-80%|EC</v>
      </c>
    </row>
    <row r="24" customFormat="false" ht="15" hidden="false" customHeight="false" outlineLevel="0" collapsed="false">
      <c r="A24" s="38" t="s">
        <v>32</v>
      </c>
      <c r="B24" s="38" t="s">
        <v>126</v>
      </c>
      <c r="C24" s="38" t="s">
        <v>127</v>
      </c>
      <c r="D24" s="38" t="s">
        <v>21</v>
      </c>
      <c r="E24" s="38" t="s">
        <v>22</v>
      </c>
      <c r="F24" s="39" t="str">
        <f aca="false">INDEX('Plan Design'!$E$5:$E$34,MATCH($C24,'Plan Design'!$C$5:$C$34,0))</f>
        <v>Y</v>
      </c>
      <c r="G24" s="40" t="n">
        <f aca="false">INDEX('Plan Design'!$O$5:$R$34,MATCH($C24,'Plan Design'!$C$5:$C$34,0),MATCH($E24,'Plan Design'!$O$4:$R$4,0))</f>
        <v>1519.36</v>
      </c>
      <c r="H24" s="40" t="n">
        <f aca="false">INDEX(Assumptions!$C$10:$C$13,MATCH($E24,Assumptions!$B$10:$B$13,0))</f>
        <v>1000</v>
      </c>
      <c r="I24" s="40" t="n">
        <f aca="false">INDEX(Assumptions!$D$18:$D$20,MATCH($A24,Assumptions!$A$18:$A$20,0))</f>
        <v>187.015</v>
      </c>
      <c r="J24" s="41" t="n">
        <f aca="false">MIN($G24,MAX($H24,$I24))</f>
        <v>1000</v>
      </c>
      <c r="K24" s="41" t="n">
        <f aca="false">$G24-$J24</f>
        <v>519.36</v>
      </c>
      <c r="L24" s="42" t="n">
        <f aca="false">$J24*12</f>
        <v>12000</v>
      </c>
      <c r="M24" s="42" t="n">
        <f aca="false">$K24*12</f>
        <v>6232.32</v>
      </c>
      <c r="N24" s="43" t="n">
        <f aca="false">IF($G24=0,0,$J24/$G24)</f>
        <v>0.658171861836563</v>
      </c>
      <c r="O24" s="44" t="n">
        <f aca="false">IF($E24="EE",INDEX('Plan Design'!$F$5:$F$34,MATCH($C24,'Plan Design'!$C$5:$C$34,0)),INDEX('Plan Design'!$G$5:$G$34,MATCH($C24,'Plan Design'!$C$5:$C$34,0)))</f>
        <v>7000</v>
      </c>
      <c r="P24" s="44" t="n">
        <f aca="false">IF($E24="EE",INDEX('Plan Design'!$H$5:$H$34,MATCH($C24,'Plan Design'!$C$5:$C$34,0)),INDEX('Plan Design'!$I$5:$I$34,MATCH($C24,'Plan Design'!$C$5:$C$34,0)))</f>
        <v>12700</v>
      </c>
      <c r="Q24" s="45" t="n">
        <f aca="false">$M24+$P24</f>
        <v>18932.32</v>
      </c>
      <c r="R24" s="6" t="str">
        <f aca="false">$C24&amp;"|"&amp;$E24</f>
        <v>ADP|OA EPO HDHP 3500-80%|FAM</v>
      </c>
    </row>
    <row r="25" customFormat="false" ht="15" hidden="false" customHeight="false" outlineLevel="0" collapsed="false">
      <c r="A25" s="11" t="s">
        <v>32</v>
      </c>
      <c r="B25" s="11" t="s">
        <v>131</v>
      </c>
      <c r="C25" s="11" t="s">
        <v>132</v>
      </c>
      <c r="D25" s="11" t="s">
        <v>12</v>
      </c>
      <c r="E25" s="11" t="s">
        <v>13</v>
      </c>
      <c r="F25" s="33" t="str">
        <f aca="false">INDEX('Plan Design'!$E$5:$E$34,MATCH($C25,'Plan Design'!$C$5:$C$34,0))</f>
        <v>N</v>
      </c>
      <c r="G25" s="34" t="n">
        <f aca="false">INDEX('Plan Design'!$O$5:$R$34,MATCH($C25,'Plan Design'!$C$5:$C$34,0),MATCH($E25,'Plan Design'!$O$4:$R$4,0))</f>
        <v>825.23</v>
      </c>
      <c r="H25" s="34" t="n">
        <f aca="false">INDEX(Assumptions!$C$10:$C$13,MATCH($E25,Assumptions!$B$10:$B$13,0))</f>
        <v>300</v>
      </c>
      <c r="I25" s="34" t="n">
        <f aca="false">INDEX(Assumptions!$D$18:$D$20,MATCH($A25,Assumptions!$A$18:$A$20,0))</f>
        <v>187.015</v>
      </c>
      <c r="J25" s="19" t="n">
        <f aca="false">MIN($G25,MAX($H25,$I25))</f>
        <v>300</v>
      </c>
      <c r="K25" s="19" t="n">
        <f aca="false">$G25-$J25</f>
        <v>525.23</v>
      </c>
      <c r="L25" s="14" t="n">
        <f aca="false">$J25*12</f>
        <v>3600</v>
      </c>
      <c r="M25" s="14" t="n">
        <f aca="false">$K25*12</f>
        <v>6302.76</v>
      </c>
      <c r="N25" s="35" t="n">
        <f aca="false">IF($G25=0,0,$J25/$G25)</f>
        <v>0.363535014480811</v>
      </c>
      <c r="O25" s="36" t="n">
        <f aca="false">IF($E25="EE",INDEX('Plan Design'!$F$5:$F$34,MATCH($C25,'Plan Design'!$C$5:$C$34,0)),INDEX('Plan Design'!$G$5:$G$34,MATCH($C25,'Plan Design'!$C$5:$C$34,0)))</f>
        <v>500</v>
      </c>
      <c r="P25" s="36" t="n">
        <f aca="false">IF($E25="EE",INDEX('Plan Design'!$H$5:$H$34,MATCH($C25,'Plan Design'!$C$5:$C$34,0)),INDEX('Plan Design'!$I$5:$I$34,MATCH($C25,'Plan Design'!$C$5:$C$34,0)))</f>
        <v>3500</v>
      </c>
      <c r="Q25" s="37" t="n">
        <f aca="false">$M25+$P25</f>
        <v>9802.76</v>
      </c>
      <c r="R25" s="6" t="str">
        <f aca="false">$C25&amp;"|"&amp;$E25</f>
        <v>ADP|OA EPO 500-80%|EE</v>
      </c>
    </row>
    <row r="26" customFormat="false" ht="15" hidden="false" customHeight="false" outlineLevel="0" collapsed="false">
      <c r="A26" s="38" t="s">
        <v>32</v>
      </c>
      <c r="B26" s="38" t="s">
        <v>131</v>
      </c>
      <c r="C26" s="38" t="s">
        <v>132</v>
      </c>
      <c r="D26" s="38" t="s">
        <v>15</v>
      </c>
      <c r="E26" s="38" t="s">
        <v>16</v>
      </c>
      <c r="F26" s="39" t="str">
        <f aca="false">INDEX('Plan Design'!$E$5:$E$34,MATCH($C26,'Plan Design'!$C$5:$C$34,0))</f>
        <v>N</v>
      </c>
      <c r="G26" s="40" t="n">
        <f aca="false">INDEX('Plan Design'!$O$5:$R$34,MATCH($C26,'Plan Design'!$C$5:$C$34,0),MATCH($E26,'Plan Design'!$O$4:$R$4,0))</f>
        <v>1774.24</v>
      </c>
      <c r="H26" s="40" t="n">
        <f aca="false">INDEX(Assumptions!$C$10:$C$13,MATCH($E26,Assumptions!$B$10:$B$13,0))</f>
        <v>600</v>
      </c>
      <c r="I26" s="40" t="n">
        <f aca="false">INDEX(Assumptions!$D$18:$D$20,MATCH($A26,Assumptions!$A$18:$A$20,0))</f>
        <v>187.015</v>
      </c>
      <c r="J26" s="41" t="n">
        <f aca="false">MIN($G26,MAX($H26,$I26))</f>
        <v>600</v>
      </c>
      <c r="K26" s="41" t="n">
        <f aca="false">$G26-$J26</f>
        <v>1174.24</v>
      </c>
      <c r="L26" s="42" t="n">
        <f aca="false">$J26*12</f>
        <v>7200</v>
      </c>
      <c r="M26" s="42" t="n">
        <f aca="false">$K26*12</f>
        <v>14090.88</v>
      </c>
      <c r="N26" s="43" t="n">
        <f aca="false">IF($G26=0,0,$J26/$G26)</f>
        <v>0.338172964198756</v>
      </c>
      <c r="O26" s="44" t="n">
        <f aca="false">IF($E26="EE",INDEX('Plan Design'!$F$5:$F$34,MATCH($C26,'Plan Design'!$C$5:$C$34,0)),INDEX('Plan Design'!$G$5:$G$34,MATCH($C26,'Plan Design'!$C$5:$C$34,0)))</f>
        <v>1000</v>
      </c>
      <c r="P26" s="44" t="n">
        <f aca="false">IF($E26="EE",INDEX('Plan Design'!$H$5:$H$34,MATCH($C26,'Plan Design'!$C$5:$C$34,0)),INDEX('Plan Design'!$I$5:$I$34,MATCH($C26,'Plan Design'!$C$5:$C$34,0)))</f>
        <v>7000</v>
      </c>
      <c r="Q26" s="45" t="n">
        <f aca="false">$M26+$P26</f>
        <v>21090.88</v>
      </c>
      <c r="R26" s="6" t="str">
        <f aca="false">$C26&amp;"|"&amp;$E26</f>
        <v>ADP|OA EPO 500-80%|ES</v>
      </c>
    </row>
    <row r="27" customFormat="false" ht="15" hidden="false" customHeight="false" outlineLevel="0" collapsed="false">
      <c r="A27" s="11" t="s">
        <v>32</v>
      </c>
      <c r="B27" s="11" t="s">
        <v>131</v>
      </c>
      <c r="C27" s="11" t="s">
        <v>132</v>
      </c>
      <c r="D27" s="11" t="s">
        <v>18</v>
      </c>
      <c r="E27" s="11" t="s">
        <v>19</v>
      </c>
      <c r="F27" s="33" t="str">
        <f aca="false">INDEX('Plan Design'!$E$5:$E$34,MATCH($C27,'Plan Design'!$C$5:$C$34,0))</f>
        <v>N</v>
      </c>
      <c r="G27" s="34" t="n">
        <f aca="false">INDEX('Plan Design'!$O$5:$R$34,MATCH($C27,'Plan Design'!$C$5:$C$34,0),MATCH($E27,'Plan Design'!$O$4:$R$4,0))</f>
        <v>1609.19</v>
      </c>
      <c r="H27" s="34" t="n">
        <f aca="false">INDEX(Assumptions!$C$10:$C$13,MATCH($E27,Assumptions!$B$10:$B$13,0))</f>
        <v>600</v>
      </c>
      <c r="I27" s="34" t="n">
        <f aca="false">INDEX(Assumptions!$D$18:$D$20,MATCH($A27,Assumptions!$A$18:$A$20,0))</f>
        <v>187.015</v>
      </c>
      <c r="J27" s="19" t="n">
        <f aca="false">MIN($G27,MAX($H27,$I27))</f>
        <v>600</v>
      </c>
      <c r="K27" s="19" t="n">
        <f aca="false">$G27-$J27</f>
        <v>1009.19</v>
      </c>
      <c r="L27" s="14" t="n">
        <f aca="false">$J27*12</f>
        <v>7200</v>
      </c>
      <c r="M27" s="14" t="n">
        <f aca="false">$K27*12</f>
        <v>12110.28</v>
      </c>
      <c r="N27" s="35" t="n">
        <f aca="false">IF($G27=0,0,$J27/$G27)</f>
        <v>0.372858394596039</v>
      </c>
      <c r="O27" s="36" t="n">
        <f aca="false">IF($E27="EE",INDEX('Plan Design'!$F$5:$F$34,MATCH($C27,'Plan Design'!$C$5:$C$34,0)),INDEX('Plan Design'!$G$5:$G$34,MATCH($C27,'Plan Design'!$C$5:$C$34,0)))</f>
        <v>1000</v>
      </c>
      <c r="P27" s="36" t="n">
        <f aca="false">IF($E27="EE",INDEX('Plan Design'!$H$5:$H$34,MATCH($C27,'Plan Design'!$C$5:$C$34,0)),INDEX('Plan Design'!$I$5:$I$34,MATCH($C27,'Plan Design'!$C$5:$C$34,0)))</f>
        <v>7000</v>
      </c>
      <c r="Q27" s="37" t="n">
        <f aca="false">$M27+$P27</f>
        <v>19110.28</v>
      </c>
      <c r="R27" s="6" t="str">
        <f aca="false">$C27&amp;"|"&amp;$E27</f>
        <v>ADP|OA EPO 500-80%|EC</v>
      </c>
    </row>
    <row r="28" customFormat="false" ht="15" hidden="false" customHeight="false" outlineLevel="0" collapsed="false">
      <c r="A28" s="38" t="s">
        <v>32</v>
      </c>
      <c r="B28" s="38" t="s">
        <v>131</v>
      </c>
      <c r="C28" s="38" t="s">
        <v>132</v>
      </c>
      <c r="D28" s="38" t="s">
        <v>21</v>
      </c>
      <c r="E28" s="38" t="s">
        <v>22</v>
      </c>
      <c r="F28" s="39" t="str">
        <f aca="false">INDEX('Plan Design'!$E$5:$E$34,MATCH($C28,'Plan Design'!$C$5:$C$34,0))</f>
        <v>N</v>
      </c>
      <c r="G28" s="40" t="n">
        <f aca="false">INDEX('Plan Design'!$O$5:$R$34,MATCH($C28,'Plan Design'!$C$5:$C$34,0),MATCH($E28,'Plan Design'!$O$4:$R$4,0))</f>
        <v>2558.21</v>
      </c>
      <c r="H28" s="40" t="n">
        <f aca="false">INDEX(Assumptions!$C$10:$C$13,MATCH($E28,Assumptions!$B$10:$B$13,0))</f>
        <v>1000</v>
      </c>
      <c r="I28" s="40" t="n">
        <f aca="false">INDEX(Assumptions!$D$18:$D$20,MATCH($A28,Assumptions!$A$18:$A$20,0))</f>
        <v>187.015</v>
      </c>
      <c r="J28" s="41" t="n">
        <f aca="false">MIN($G28,MAX($H28,$I28))</f>
        <v>1000</v>
      </c>
      <c r="K28" s="41" t="n">
        <f aca="false">$G28-$J28</f>
        <v>1558.21</v>
      </c>
      <c r="L28" s="42" t="n">
        <f aca="false">$J28*12</f>
        <v>12000</v>
      </c>
      <c r="M28" s="42" t="n">
        <f aca="false">$K28*12</f>
        <v>18698.52</v>
      </c>
      <c r="N28" s="43" t="n">
        <f aca="false">IF($G28=0,0,$J28/$G28)</f>
        <v>0.390898323437091</v>
      </c>
      <c r="O28" s="44" t="n">
        <f aca="false">IF($E28="EE",INDEX('Plan Design'!$F$5:$F$34,MATCH($C28,'Plan Design'!$C$5:$C$34,0)),INDEX('Plan Design'!$G$5:$G$34,MATCH($C28,'Plan Design'!$C$5:$C$34,0)))</f>
        <v>1000</v>
      </c>
      <c r="P28" s="44" t="n">
        <f aca="false">IF($E28="EE",INDEX('Plan Design'!$H$5:$H$34,MATCH($C28,'Plan Design'!$C$5:$C$34,0)),INDEX('Plan Design'!$I$5:$I$34,MATCH($C28,'Plan Design'!$C$5:$C$34,0)))</f>
        <v>7000</v>
      </c>
      <c r="Q28" s="45" t="n">
        <f aca="false">$M28+$P28</f>
        <v>25698.52</v>
      </c>
      <c r="R28" s="6" t="str">
        <f aca="false">$C28&amp;"|"&amp;$E28</f>
        <v>ADP|OA EPO 500-80%|FAM</v>
      </c>
    </row>
    <row r="29" customFormat="false" ht="15" hidden="false" customHeight="false" outlineLevel="0" collapsed="false">
      <c r="A29" s="11" t="s">
        <v>32</v>
      </c>
      <c r="B29" s="11" t="s">
        <v>133</v>
      </c>
      <c r="C29" s="11" t="s">
        <v>134</v>
      </c>
      <c r="D29" s="11" t="s">
        <v>12</v>
      </c>
      <c r="E29" s="11" t="s">
        <v>13</v>
      </c>
      <c r="F29" s="33" t="str">
        <f aca="false">INDEX('Plan Design'!$E$5:$E$34,MATCH($C29,'Plan Design'!$C$5:$C$34,0))</f>
        <v>N</v>
      </c>
      <c r="G29" s="34" t="n">
        <f aca="false">INDEX('Plan Design'!$O$5:$R$34,MATCH($C29,'Plan Design'!$C$5:$C$34,0),MATCH($E29,'Plan Design'!$O$4:$R$4,0))</f>
        <v>749.15</v>
      </c>
      <c r="H29" s="34" t="n">
        <f aca="false">INDEX(Assumptions!$C$10:$C$13,MATCH($E29,Assumptions!$B$10:$B$13,0))</f>
        <v>300</v>
      </c>
      <c r="I29" s="34" t="n">
        <f aca="false">INDEX(Assumptions!$D$18:$D$20,MATCH($A29,Assumptions!$A$18:$A$20,0))</f>
        <v>187.015</v>
      </c>
      <c r="J29" s="19" t="n">
        <f aca="false">MIN($G29,MAX($H29,$I29))</f>
        <v>300</v>
      </c>
      <c r="K29" s="19" t="n">
        <f aca="false">$G29-$J29</f>
        <v>449.15</v>
      </c>
      <c r="L29" s="14" t="n">
        <f aca="false">$J29*12</f>
        <v>3600</v>
      </c>
      <c r="M29" s="14" t="n">
        <f aca="false">$K29*12</f>
        <v>5389.8</v>
      </c>
      <c r="N29" s="35" t="n">
        <f aca="false">IF($G29=0,0,$J29/$G29)</f>
        <v>0.400453847694053</v>
      </c>
      <c r="O29" s="36" t="n">
        <f aca="false">IF($E29="EE",INDEX('Plan Design'!$F$5:$F$34,MATCH($C29,'Plan Design'!$C$5:$C$34,0)),INDEX('Plan Design'!$G$5:$G$34,MATCH($C29,'Plan Design'!$C$5:$C$34,0)))</f>
        <v>1000</v>
      </c>
      <c r="P29" s="36" t="n">
        <f aca="false">IF($E29="EE",INDEX('Plan Design'!$H$5:$H$34,MATCH($C29,'Plan Design'!$C$5:$C$34,0)),INDEX('Plan Design'!$I$5:$I$34,MATCH($C29,'Plan Design'!$C$5:$C$34,0)))</f>
        <v>4500</v>
      </c>
      <c r="Q29" s="37" t="n">
        <f aca="false">$M29+$P29</f>
        <v>9889.8</v>
      </c>
      <c r="R29" s="6" t="str">
        <f aca="false">$C29&amp;"|"&amp;$E29</f>
        <v>ADP|OA EPO 1000-80%|EE</v>
      </c>
    </row>
    <row r="30" customFormat="false" ht="15" hidden="false" customHeight="false" outlineLevel="0" collapsed="false">
      <c r="A30" s="38" t="s">
        <v>32</v>
      </c>
      <c r="B30" s="38" t="s">
        <v>133</v>
      </c>
      <c r="C30" s="38" t="s">
        <v>134</v>
      </c>
      <c r="D30" s="38" t="s">
        <v>15</v>
      </c>
      <c r="E30" s="38" t="s">
        <v>16</v>
      </c>
      <c r="F30" s="39" t="str">
        <f aca="false">INDEX('Plan Design'!$E$5:$E$34,MATCH($C30,'Plan Design'!$C$5:$C$34,0))</f>
        <v>N</v>
      </c>
      <c r="G30" s="40" t="n">
        <f aca="false">INDEX('Plan Design'!$O$5:$R$34,MATCH($C30,'Plan Design'!$C$5:$C$34,0),MATCH($E30,'Plan Design'!$O$4:$R$4,0))</f>
        <v>1610.67</v>
      </c>
      <c r="H30" s="40" t="n">
        <f aca="false">INDEX(Assumptions!$C$10:$C$13,MATCH($E30,Assumptions!$B$10:$B$13,0))</f>
        <v>600</v>
      </c>
      <c r="I30" s="40" t="n">
        <f aca="false">INDEX(Assumptions!$D$18:$D$20,MATCH($A30,Assumptions!$A$18:$A$20,0))</f>
        <v>187.015</v>
      </c>
      <c r="J30" s="41" t="n">
        <f aca="false">MIN($G30,MAX($H30,$I30))</f>
        <v>600</v>
      </c>
      <c r="K30" s="41" t="n">
        <f aca="false">$G30-$J30</f>
        <v>1010.67</v>
      </c>
      <c r="L30" s="42" t="n">
        <f aca="false">$J30*12</f>
        <v>7200</v>
      </c>
      <c r="M30" s="42" t="n">
        <f aca="false">$K30*12</f>
        <v>12128.04</v>
      </c>
      <c r="N30" s="43" t="n">
        <f aca="false">IF($G30=0,0,$J30/$G30)</f>
        <v>0.372515785356404</v>
      </c>
      <c r="O30" s="44" t="n">
        <f aca="false">IF($E30="EE",INDEX('Plan Design'!$F$5:$F$34,MATCH($C30,'Plan Design'!$C$5:$C$34,0)),INDEX('Plan Design'!$G$5:$G$34,MATCH($C30,'Plan Design'!$C$5:$C$34,0)))</f>
        <v>2000</v>
      </c>
      <c r="P30" s="44" t="n">
        <f aca="false">IF($E30="EE",INDEX('Plan Design'!$H$5:$H$34,MATCH($C30,'Plan Design'!$C$5:$C$34,0)),INDEX('Plan Design'!$I$5:$I$34,MATCH($C30,'Plan Design'!$C$5:$C$34,0)))</f>
        <v>9000</v>
      </c>
      <c r="Q30" s="45" t="n">
        <f aca="false">$M30+$P30</f>
        <v>21128.04</v>
      </c>
      <c r="R30" s="6" t="str">
        <f aca="false">$C30&amp;"|"&amp;$E30</f>
        <v>ADP|OA EPO 1000-80%|ES</v>
      </c>
    </row>
    <row r="31" customFormat="false" ht="15" hidden="false" customHeight="false" outlineLevel="0" collapsed="false">
      <c r="A31" s="11" t="s">
        <v>32</v>
      </c>
      <c r="B31" s="11" t="s">
        <v>133</v>
      </c>
      <c r="C31" s="11" t="s">
        <v>134</v>
      </c>
      <c r="D31" s="11" t="s">
        <v>18</v>
      </c>
      <c r="E31" s="11" t="s">
        <v>19</v>
      </c>
      <c r="F31" s="33" t="str">
        <f aca="false">INDEX('Plan Design'!$E$5:$E$34,MATCH($C31,'Plan Design'!$C$5:$C$34,0))</f>
        <v>N</v>
      </c>
      <c r="G31" s="34" t="n">
        <f aca="false">INDEX('Plan Design'!$O$5:$R$34,MATCH($C31,'Plan Design'!$C$5:$C$34,0),MATCH($E31,'Plan Design'!$O$4:$R$4,0))</f>
        <v>1460.84</v>
      </c>
      <c r="H31" s="34" t="n">
        <f aca="false">INDEX(Assumptions!$C$10:$C$13,MATCH($E31,Assumptions!$B$10:$B$13,0))</f>
        <v>600</v>
      </c>
      <c r="I31" s="34" t="n">
        <f aca="false">INDEX(Assumptions!$D$18:$D$20,MATCH($A31,Assumptions!$A$18:$A$20,0))</f>
        <v>187.015</v>
      </c>
      <c r="J31" s="19" t="n">
        <f aca="false">MIN($G31,MAX($H31,$I31))</f>
        <v>600</v>
      </c>
      <c r="K31" s="19" t="n">
        <f aca="false">$G31-$J31</f>
        <v>860.84</v>
      </c>
      <c r="L31" s="14" t="n">
        <f aca="false">$J31*12</f>
        <v>7200</v>
      </c>
      <c r="M31" s="14" t="n">
        <f aca="false">$K31*12</f>
        <v>10330.08</v>
      </c>
      <c r="N31" s="35" t="n">
        <f aca="false">IF($G31=0,0,$J31/$G31)</f>
        <v>0.41072259795734</v>
      </c>
      <c r="O31" s="36" t="n">
        <f aca="false">IF($E31="EE",INDEX('Plan Design'!$F$5:$F$34,MATCH($C31,'Plan Design'!$C$5:$C$34,0)),INDEX('Plan Design'!$G$5:$G$34,MATCH($C31,'Plan Design'!$C$5:$C$34,0)))</f>
        <v>2000</v>
      </c>
      <c r="P31" s="36" t="n">
        <f aca="false">IF($E31="EE",INDEX('Plan Design'!$H$5:$H$34,MATCH($C31,'Plan Design'!$C$5:$C$34,0)),INDEX('Plan Design'!$I$5:$I$34,MATCH($C31,'Plan Design'!$C$5:$C$34,0)))</f>
        <v>9000</v>
      </c>
      <c r="Q31" s="37" t="n">
        <f aca="false">$M31+$P31</f>
        <v>19330.08</v>
      </c>
      <c r="R31" s="6" t="str">
        <f aca="false">$C31&amp;"|"&amp;$E31</f>
        <v>ADP|OA EPO 1000-80%|EC</v>
      </c>
    </row>
    <row r="32" customFormat="false" ht="15" hidden="false" customHeight="false" outlineLevel="0" collapsed="false">
      <c r="A32" s="38" t="s">
        <v>32</v>
      </c>
      <c r="B32" s="38" t="s">
        <v>133</v>
      </c>
      <c r="C32" s="38" t="s">
        <v>134</v>
      </c>
      <c r="D32" s="38" t="s">
        <v>21</v>
      </c>
      <c r="E32" s="38" t="s">
        <v>22</v>
      </c>
      <c r="F32" s="39" t="str">
        <f aca="false">INDEX('Plan Design'!$E$5:$E$34,MATCH($C32,'Plan Design'!$C$5:$C$34,0))</f>
        <v>N</v>
      </c>
      <c r="G32" s="40" t="n">
        <f aca="false">INDEX('Plan Design'!$O$5:$R$34,MATCH($C32,'Plan Design'!$C$5:$C$34,0),MATCH($E32,'Plan Design'!$O$4:$R$4,0))</f>
        <v>2322.36</v>
      </c>
      <c r="H32" s="40" t="n">
        <f aca="false">INDEX(Assumptions!$C$10:$C$13,MATCH($E32,Assumptions!$B$10:$B$13,0))</f>
        <v>1000</v>
      </c>
      <c r="I32" s="40" t="n">
        <f aca="false">INDEX(Assumptions!$D$18:$D$20,MATCH($A32,Assumptions!$A$18:$A$20,0))</f>
        <v>187.015</v>
      </c>
      <c r="J32" s="41" t="n">
        <f aca="false">MIN($G32,MAX($H32,$I32))</f>
        <v>1000</v>
      </c>
      <c r="K32" s="41" t="n">
        <f aca="false">$G32-$J32</f>
        <v>1322.36</v>
      </c>
      <c r="L32" s="42" t="n">
        <f aca="false">$J32*12</f>
        <v>12000</v>
      </c>
      <c r="M32" s="42" t="n">
        <f aca="false">$K32*12</f>
        <v>15868.32</v>
      </c>
      <c r="N32" s="43" t="n">
        <f aca="false">IF($G32=0,0,$J32/$G32)</f>
        <v>0.430596462219466</v>
      </c>
      <c r="O32" s="44" t="n">
        <f aca="false">IF($E32="EE",INDEX('Plan Design'!$F$5:$F$34,MATCH($C32,'Plan Design'!$C$5:$C$34,0)),INDEX('Plan Design'!$G$5:$G$34,MATCH($C32,'Plan Design'!$C$5:$C$34,0)))</f>
        <v>2000</v>
      </c>
      <c r="P32" s="44" t="n">
        <f aca="false">IF($E32="EE",INDEX('Plan Design'!$H$5:$H$34,MATCH($C32,'Plan Design'!$C$5:$C$34,0)),INDEX('Plan Design'!$I$5:$I$34,MATCH($C32,'Plan Design'!$C$5:$C$34,0)))</f>
        <v>9000</v>
      </c>
      <c r="Q32" s="45" t="n">
        <f aca="false">$M32+$P32</f>
        <v>24868.32</v>
      </c>
      <c r="R32" s="6" t="str">
        <f aca="false">$C32&amp;"|"&amp;$E32</f>
        <v>ADP|OA EPO 1000-80%|FAM</v>
      </c>
    </row>
    <row r="33" customFormat="false" ht="15" hidden="false" customHeight="false" outlineLevel="0" collapsed="false">
      <c r="A33" s="11" t="s">
        <v>32</v>
      </c>
      <c r="B33" s="11" t="s">
        <v>135</v>
      </c>
      <c r="C33" s="11" t="s">
        <v>136</v>
      </c>
      <c r="D33" s="11" t="s">
        <v>12</v>
      </c>
      <c r="E33" s="11" t="s">
        <v>13</v>
      </c>
      <c r="F33" s="33" t="str">
        <f aca="false">INDEX('Plan Design'!$E$5:$E$34,MATCH($C33,'Plan Design'!$C$5:$C$34,0))</f>
        <v>N</v>
      </c>
      <c r="G33" s="34" t="n">
        <f aca="false">INDEX('Plan Design'!$O$5:$R$34,MATCH($C33,'Plan Design'!$C$5:$C$34,0),MATCH($E33,'Plan Design'!$O$4:$R$4,0))</f>
        <v>744.88</v>
      </c>
      <c r="H33" s="34" t="n">
        <f aca="false">INDEX(Assumptions!$C$10:$C$13,MATCH($E33,Assumptions!$B$10:$B$13,0))</f>
        <v>300</v>
      </c>
      <c r="I33" s="34" t="n">
        <f aca="false">INDEX(Assumptions!$D$18:$D$20,MATCH($A33,Assumptions!$A$18:$A$20,0))</f>
        <v>187.015</v>
      </c>
      <c r="J33" s="19" t="n">
        <f aca="false">MIN($G33,MAX($H33,$I33))</f>
        <v>300</v>
      </c>
      <c r="K33" s="19" t="n">
        <f aca="false">$G33-$J33</f>
        <v>444.88</v>
      </c>
      <c r="L33" s="14" t="n">
        <f aca="false">$J33*12</f>
        <v>3600</v>
      </c>
      <c r="M33" s="14" t="n">
        <f aca="false">$K33*12</f>
        <v>5338.56</v>
      </c>
      <c r="N33" s="35" t="n">
        <f aca="false">IF($G33=0,0,$J33/$G33)</f>
        <v>0.402749436150789</v>
      </c>
      <c r="O33" s="36" t="n">
        <f aca="false">IF($E33="EE",INDEX('Plan Design'!$F$5:$F$34,MATCH($C33,'Plan Design'!$C$5:$C$34,0)),INDEX('Plan Design'!$G$5:$G$34,MATCH($C33,'Plan Design'!$C$5:$C$34,0)))</f>
        <v>1500</v>
      </c>
      <c r="P33" s="36" t="n">
        <f aca="false">IF($E33="EE",INDEX('Plan Design'!$H$5:$H$34,MATCH($C33,'Plan Design'!$C$5:$C$34,0)),INDEX('Plan Design'!$I$5:$I$34,MATCH($C33,'Plan Design'!$C$5:$C$34,0)))</f>
        <v>5000</v>
      </c>
      <c r="Q33" s="37" t="n">
        <f aca="false">$M33+$P33</f>
        <v>10338.56</v>
      </c>
      <c r="R33" s="6" t="str">
        <f aca="false">$C33&amp;"|"&amp;$E33</f>
        <v>ADP|OA EPO 1500-100%|EE</v>
      </c>
    </row>
    <row r="34" customFormat="false" ht="15" hidden="false" customHeight="false" outlineLevel="0" collapsed="false">
      <c r="A34" s="38" t="s">
        <v>32</v>
      </c>
      <c r="B34" s="38" t="s">
        <v>135</v>
      </c>
      <c r="C34" s="38" t="s">
        <v>136</v>
      </c>
      <c r="D34" s="38" t="s">
        <v>15</v>
      </c>
      <c r="E34" s="38" t="s">
        <v>16</v>
      </c>
      <c r="F34" s="39" t="str">
        <f aca="false">INDEX('Plan Design'!$E$5:$E$34,MATCH($C34,'Plan Design'!$C$5:$C$34,0))</f>
        <v>N</v>
      </c>
      <c r="G34" s="40" t="n">
        <f aca="false">INDEX('Plan Design'!$O$5:$R$34,MATCH($C34,'Plan Design'!$C$5:$C$34,0),MATCH($E34,'Plan Design'!$O$4:$R$4,0))</f>
        <v>1601.49</v>
      </c>
      <c r="H34" s="40" t="n">
        <f aca="false">INDEX(Assumptions!$C$10:$C$13,MATCH($E34,Assumptions!$B$10:$B$13,0))</f>
        <v>600</v>
      </c>
      <c r="I34" s="40" t="n">
        <f aca="false">INDEX(Assumptions!$D$18:$D$20,MATCH($A34,Assumptions!$A$18:$A$20,0))</f>
        <v>187.015</v>
      </c>
      <c r="J34" s="41" t="n">
        <f aca="false">MIN($G34,MAX($H34,$I34))</f>
        <v>600</v>
      </c>
      <c r="K34" s="41" t="n">
        <f aca="false">$G34-$J34</f>
        <v>1001.49</v>
      </c>
      <c r="L34" s="42" t="n">
        <f aca="false">$J34*12</f>
        <v>7200</v>
      </c>
      <c r="M34" s="42" t="n">
        <f aca="false">$K34*12</f>
        <v>12017.88</v>
      </c>
      <c r="N34" s="43" t="n">
        <f aca="false">IF($G34=0,0,$J34/$G34)</f>
        <v>0.374651106157391</v>
      </c>
      <c r="O34" s="44" t="n">
        <f aca="false">IF($E34="EE",INDEX('Plan Design'!$F$5:$F$34,MATCH($C34,'Plan Design'!$C$5:$C$34,0)),INDEX('Plan Design'!$G$5:$G$34,MATCH($C34,'Plan Design'!$C$5:$C$34,0)))</f>
        <v>3000</v>
      </c>
      <c r="P34" s="44" t="n">
        <f aca="false">IF($E34="EE",INDEX('Plan Design'!$H$5:$H$34,MATCH($C34,'Plan Design'!$C$5:$C$34,0)),INDEX('Plan Design'!$I$5:$I$34,MATCH($C34,'Plan Design'!$C$5:$C$34,0)))</f>
        <v>10000</v>
      </c>
      <c r="Q34" s="45" t="n">
        <f aca="false">$M34+$P34</f>
        <v>22017.88</v>
      </c>
      <c r="R34" s="6" t="str">
        <f aca="false">$C34&amp;"|"&amp;$E34</f>
        <v>ADP|OA EPO 1500-100%|ES</v>
      </c>
    </row>
    <row r="35" customFormat="false" ht="15" hidden="false" customHeight="false" outlineLevel="0" collapsed="false">
      <c r="A35" s="11" t="s">
        <v>32</v>
      </c>
      <c r="B35" s="11" t="s">
        <v>135</v>
      </c>
      <c r="C35" s="11" t="s">
        <v>136</v>
      </c>
      <c r="D35" s="11" t="s">
        <v>18</v>
      </c>
      <c r="E35" s="11" t="s">
        <v>19</v>
      </c>
      <c r="F35" s="33" t="str">
        <f aca="false">INDEX('Plan Design'!$E$5:$E$34,MATCH($C35,'Plan Design'!$C$5:$C$34,0))</f>
        <v>N</v>
      </c>
      <c r="G35" s="34" t="n">
        <f aca="false">INDEX('Plan Design'!$O$5:$R$34,MATCH($C35,'Plan Design'!$C$5:$C$34,0),MATCH($E35,'Plan Design'!$O$4:$R$4,0))</f>
        <v>1452.51</v>
      </c>
      <c r="H35" s="34" t="n">
        <f aca="false">INDEX(Assumptions!$C$10:$C$13,MATCH($E35,Assumptions!$B$10:$B$13,0))</f>
        <v>600</v>
      </c>
      <c r="I35" s="34" t="n">
        <f aca="false">INDEX(Assumptions!$D$18:$D$20,MATCH($A35,Assumptions!$A$18:$A$20,0))</f>
        <v>187.015</v>
      </c>
      <c r="J35" s="19" t="n">
        <f aca="false">MIN($G35,MAX($H35,$I35))</f>
        <v>600</v>
      </c>
      <c r="K35" s="19" t="n">
        <f aca="false">$G35-$J35</f>
        <v>852.51</v>
      </c>
      <c r="L35" s="14" t="n">
        <f aca="false">$J35*12</f>
        <v>7200</v>
      </c>
      <c r="M35" s="14" t="n">
        <f aca="false">$K35*12</f>
        <v>10230.12</v>
      </c>
      <c r="N35" s="35" t="n">
        <f aca="false">IF($G35=0,0,$J35/$G35)</f>
        <v>0.413078051097755</v>
      </c>
      <c r="O35" s="36" t="n">
        <f aca="false">IF($E35="EE",INDEX('Plan Design'!$F$5:$F$34,MATCH($C35,'Plan Design'!$C$5:$C$34,0)),INDEX('Plan Design'!$G$5:$G$34,MATCH($C35,'Plan Design'!$C$5:$C$34,0)))</f>
        <v>3000</v>
      </c>
      <c r="P35" s="36" t="n">
        <f aca="false">IF($E35="EE",INDEX('Plan Design'!$H$5:$H$34,MATCH($C35,'Plan Design'!$C$5:$C$34,0)),INDEX('Plan Design'!$I$5:$I$34,MATCH($C35,'Plan Design'!$C$5:$C$34,0)))</f>
        <v>10000</v>
      </c>
      <c r="Q35" s="37" t="n">
        <f aca="false">$M35+$P35</f>
        <v>20230.12</v>
      </c>
      <c r="R35" s="6" t="str">
        <f aca="false">$C35&amp;"|"&amp;$E35</f>
        <v>ADP|OA EPO 1500-100%|EC</v>
      </c>
    </row>
    <row r="36" customFormat="false" ht="15" hidden="false" customHeight="false" outlineLevel="0" collapsed="false">
      <c r="A36" s="38" t="s">
        <v>32</v>
      </c>
      <c r="B36" s="38" t="s">
        <v>135</v>
      </c>
      <c r="C36" s="38" t="s">
        <v>136</v>
      </c>
      <c r="D36" s="38" t="s">
        <v>21</v>
      </c>
      <c r="E36" s="38" t="s">
        <v>22</v>
      </c>
      <c r="F36" s="39" t="str">
        <f aca="false">INDEX('Plan Design'!$E$5:$E$34,MATCH($C36,'Plan Design'!$C$5:$C$34,0))</f>
        <v>N</v>
      </c>
      <c r="G36" s="40" t="n">
        <f aca="false">INDEX('Plan Design'!$O$5:$R$34,MATCH($C36,'Plan Design'!$C$5:$C$34,0),MATCH($E36,'Plan Design'!$O$4:$R$4,0))</f>
        <v>2309.12</v>
      </c>
      <c r="H36" s="40" t="n">
        <f aca="false">INDEX(Assumptions!$C$10:$C$13,MATCH($E36,Assumptions!$B$10:$B$13,0))</f>
        <v>1000</v>
      </c>
      <c r="I36" s="40" t="n">
        <f aca="false">INDEX(Assumptions!$D$18:$D$20,MATCH($A36,Assumptions!$A$18:$A$20,0))</f>
        <v>187.015</v>
      </c>
      <c r="J36" s="41" t="n">
        <f aca="false">MIN($G36,MAX($H36,$I36))</f>
        <v>1000</v>
      </c>
      <c r="K36" s="41" t="n">
        <f aca="false">$G36-$J36</f>
        <v>1309.12</v>
      </c>
      <c r="L36" s="42" t="n">
        <f aca="false">$J36*12</f>
        <v>12000</v>
      </c>
      <c r="M36" s="42" t="n">
        <f aca="false">$K36*12</f>
        <v>15709.44</v>
      </c>
      <c r="N36" s="43" t="n">
        <f aca="false">IF($G36=0,0,$J36/$G36)</f>
        <v>0.433065410199557</v>
      </c>
      <c r="O36" s="44" t="n">
        <f aca="false">IF($E36="EE",INDEX('Plan Design'!$F$5:$F$34,MATCH($C36,'Plan Design'!$C$5:$C$34,0)),INDEX('Plan Design'!$G$5:$G$34,MATCH($C36,'Plan Design'!$C$5:$C$34,0)))</f>
        <v>3000</v>
      </c>
      <c r="P36" s="44" t="n">
        <f aca="false">IF($E36="EE",INDEX('Plan Design'!$H$5:$H$34,MATCH($C36,'Plan Design'!$C$5:$C$34,0)),INDEX('Plan Design'!$I$5:$I$34,MATCH($C36,'Plan Design'!$C$5:$C$34,0)))</f>
        <v>10000</v>
      </c>
      <c r="Q36" s="45" t="n">
        <f aca="false">$M36+$P36</f>
        <v>25709.44</v>
      </c>
      <c r="R36" s="6" t="str">
        <f aca="false">$C36&amp;"|"&amp;$E36</f>
        <v>ADP|OA EPO 1500-100%|FAM</v>
      </c>
    </row>
    <row r="37" customFormat="false" ht="15" hidden="false" customHeight="false" outlineLevel="0" collapsed="false">
      <c r="A37" s="11" t="s">
        <v>32</v>
      </c>
      <c r="B37" s="11" t="s">
        <v>139</v>
      </c>
      <c r="C37" s="11" t="s">
        <v>140</v>
      </c>
      <c r="D37" s="11" t="s">
        <v>12</v>
      </c>
      <c r="E37" s="11" t="s">
        <v>13</v>
      </c>
      <c r="F37" s="33" t="str">
        <f aca="false">INDEX('Plan Design'!$E$5:$E$34,MATCH($C37,'Plan Design'!$C$5:$C$34,0))</f>
        <v>Y</v>
      </c>
      <c r="G37" s="34" t="n">
        <f aca="false">INDEX('Plan Design'!$O$5:$R$34,MATCH($C37,'Plan Design'!$C$5:$C$34,0),MATCH($E37,'Plan Design'!$O$4:$R$4,0))</f>
        <v>437.9</v>
      </c>
      <c r="H37" s="34" t="n">
        <f aca="false">INDEX(Assumptions!$C$10:$C$13,MATCH($E37,Assumptions!$B$10:$B$13,0))</f>
        <v>300</v>
      </c>
      <c r="I37" s="34" t="n">
        <f aca="false">INDEX(Assumptions!$D$18:$D$20,MATCH($A37,Assumptions!$A$18:$A$20,0))</f>
        <v>187.015</v>
      </c>
      <c r="J37" s="19" t="n">
        <f aca="false">MIN($G37,MAX($H37,$I37))</f>
        <v>300</v>
      </c>
      <c r="K37" s="19" t="n">
        <f aca="false">$G37-$J37</f>
        <v>137.9</v>
      </c>
      <c r="L37" s="14" t="n">
        <f aca="false">$J37*12</f>
        <v>3600</v>
      </c>
      <c r="M37" s="14" t="n">
        <f aca="false">$K37*12</f>
        <v>1654.8</v>
      </c>
      <c r="N37" s="35" t="n">
        <f aca="false">IF($G37=0,0,$J37/$G37)</f>
        <v>0.685087919616351</v>
      </c>
      <c r="O37" s="36" t="n">
        <f aca="false">IF($E37="EE",INDEX('Plan Design'!$F$5:$F$34,MATCH($C37,'Plan Design'!$C$5:$C$34,0)),INDEX('Plan Design'!$G$5:$G$34,MATCH($C37,'Plan Design'!$C$5:$C$34,0)))</f>
        <v>6000</v>
      </c>
      <c r="P37" s="36" t="n">
        <f aca="false">IF($E37="EE",INDEX('Plan Design'!$H$5:$H$34,MATCH($C37,'Plan Design'!$C$5:$C$34,0)),INDEX('Plan Design'!$I$5:$I$34,MATCH($C37,'Plan Design'!$C$5:$C$34,0)))</f>
        <v>6500</v>
      </c>
      <c r="Q37" s="37" t="n">
        <f aca="false">$M37+$P37</f>
        <v>8154.8</v>
      </c>
      <c r="R37" s="6" t="str">
        <f aca="false">$C37&amp;"|"&amp;$E37</f>
        <v>ADP|OA EPO HDHP 6000-80%|EE</v>
      </c>
    </row>
    <row r="38" customFormat="false" ht="15" hidden="false" customHeight="false" outlineLevel="0" collapsed="false">
      <c r="A38" s="38" t="s">
        <v>32</v>
      </c>
      <c r="B38" s="38" t="s">
        <v>139</v>
      </c>
      <c r="C38" s="38" t="s">
        <v>140</v>
      </c>
      <c r="D38" s="38" t="s">
        <v>15</v>
      </c>
      <c r="E38" s="38" t="s">
        <v>16</v>
      </c>
      <c r="F38" s="39" t="str">
        <f aca="false">INDEX('Plan Design'!$E$5:$E$34,MATCH($C38,'Plan Design'!$C$5:$C$34,0))</f>
        <v>Y</v>
      </c>
      <c r="G38" s="40" t="n">
        <f aca="false">INDEX('Plan Design'!$O$5:$R$34,MATCH($C38,'Plan Design'!$C$5:$C$34,0),MATCH($E38,'Plan Design'!$O$4:$R$4,0))</f>
        <v>941.49</v>
      </c>
      <c r="H38" s="40" t="n">
        <f aca="false">INDEX(Assumptions!$C$10:$C$13,MATCH($E38,Assumptions!$B$10:$B$13,0))</f>
        <v>600</v>
      </c>
      <c r="I38" s="40" t="n">
        <f aca="false">INDEX(Assumptions!$D$18:$D$20,MATCH($A38,Assumptions!$A$18:$A$20,0))</f>
        <v>187.015</v>
      </c>
      <c r="J38" s="41" t="n">
        <f aca="false">MIN($G38,MAX($H38,$I38))</f>
        <v>600</v>
      </c>
      <c r="K38" s="41" t="n">
        <f aca="false">$G38-$J38</f>
        <v>341.49</v>
      </c>
      <c r="L38" s="42" t="n">
        <f aca="false">$J38*12</f>
        <v>7200</v>
      </c>
      <c r="M38" s="42" t="n">
        <f aca="false">$K38*12</f>
        <v>4097.88</v>
      </c>
      <c r="N38" s="43" t="n">
        <f aca="false">IF($G38=0,0,$J38/$G38)</f>
        <v>0.63728770353376</v>
      </c>
      <c r="O38" s="44" t="n">
        <f aca="false">IF($E38="EE",INDEX('Plan Design'!$F$5:$F$34,MATCH($C38,'Plan Design'!$C$5:$C$34,0)),INDEX('Plan Design'!$G$5:$G$34,MATCH($C38,'Plan Design'!$C$5:$C$34,0)))</f>
        <v>12000</v>
      </c>
      <c r="P38" s="44" t="n">
        <f aca="false">IF($E38="EE",INDEX('Plan Design'!$H$5:$H$34,MATCH($C38,'Plan Design'!$C$5:$C$34,0)),INDEX('Plan Design'!$I$5:$I$34,MATCH($C38,'Plan Design'!$C$5:$C$34,0)))</f>
        <v>13000</v>
      </c>
      <c r="Q38" s="45" t="n">
        <f aca="false">$M38+$P38</f>
        <v>17097.88</v>
      </c>
      <c r="R38" s="6" t="str">
        <f aca="false">$C38&amp;"|"&amp;$E38</f>
        <v>ADP|OA EPO HDHP 6000-80%|ES</v>
      </c>
    </row>
    <row r="39" customFormat="false" ht="15" hidden="false" customHeight="false" outlineLevel="0" collapsed="false">
      <c r="A39" s="11" t="s">
        <v>32</v>
      </c>
      <c r="B39" s="11" t="s">
        <v>139</v>
      </c>
      <c r="C39" s="11" t="s">
        <v>140</v>
      </c>
      <c r="D39" s="11" t="s">
        <v>18</v>
      </c>
      <c r="E39" s="11" t="s">
        <v>19</v>
      </c>
      <c r="F39" s="33" t="str">
        <f aca="false">INDEX('Plan Design'!$E$5:$E$34,MATCH($C39,'Plan Design'!$C$5:$C$34,0))</f>
        <v>Y</v>
      </c>
      <c r="G39" s="34" t="n">
        <f aca="false">INDEX('Plan Design'!$O$5:$R$34,MATCH($C39,'Plan Design'!$C$5:$C$34,0),MATCH($E39,'Plan Design'!$O$4:$R$4,0))</f>
        <v>853.91</v>
      </c>
      <c r="H39" s="34" t="n">
        <f aca="false">INDEX(Assumptions!$C$10:$C$13,MATCH($E39,Assumptions!$B$10:$B$13,0))</f>
        <v>600</v>
      </c>
      <c r="I39" s="34" t="n">
        <f aca="false">INDEX(Assumptions!$D$18:$D$20,MATCH($A39,Assumptions!$A$18:$A$20,0))</f>
        <v>187.015</v>
      </c>
      <c r="J39" s="19" t="n">
        <f aca="false">MIN($G39,MAX($H39,$I39))</f>
        <v>600</v>
      </c>
      <c r="K39" s="19" t="n">
        <f aca="false">$G39-$J39</f>
        <v>253.91</v>
      </c>
      <c r="L39" s="14" t="n">
        <f aca="false">$J39*12</f>
        <v>7200</v>
      </c>
      <c r="M39" s="14" t="n">
        <f aca="false">$K39*12</f>
        <v>3046.92</v>
      </c>
      <c r="N39" s="35" t="n">
        <f aca="false">IF($G39=0,0,$J39/$G39)</f>
        <v>0.702650162195079</v>
      </c>
      <c r="O39" s="36" t="n">
        <f aca="false">IF($E39="EE",INDEX('Plan Design'!$F$5:$F$34,MATCH($C39,'Plan Design'!$C$5:$C$34,0)),INDEX('Plan Design'!$G$5:$G$34,MATCH($C39,'Plan Design'!$C$5:$C$34,0)))</f>
        <v>12000</v>
      </c>
      <c r="P39" s="36" t="n">
        <f aca="false">IF($E39="EE",INDEX('Plan Design'!$H$5:$H$34,MATCH($C39,'Plan Design'!$C$5:$C$34,0)),INDEX('Plan Design'!$I$5:$I$34,MATCH($C39,'Plan Design'!$C$5:$C$34,0)))</f>
        <v>13000</v>
      </c>
      <c r="Q39" s="37" t="n">
        <f aca="false">$M39+$P39</f>
        <v>16046.92</v>
      </c>
      <c r="R39" s="6" t="str">
        <f aca="false">$C39&amp;"|"&amp;$E39</f>
        <v>ADP|OA EPO HDHP 6000-80%|EC</v>
      </c>
    </row>
    <row r="40" customFormat="false" ht="15" hidden="false" customHeight="false" outlineLevel="0" collapsed="false">
      <c r="A40" s="38" t="s">
        <v>32</v>
      </c>
      <c r="B40" s="38" t="s">
        <v>139</v>
      </c>
      <c r="C40" s="38" t="s">
        <v>140</v>
      </c>
      <c r="D40" s="38" t="s">
        <v>21</v>
      </c>
      <c r="E40" s="38" t="s">
        <v>22</v>
      </c>
      <c r="F40" s="39" t="str">
        <f aca="false">INDEX('Plan Design'!$E$5:$E$34,MATCH($C40,'Plan Design'!$C$5:$C$34,0))</f>
        <v>Y</v>
      </c>
      <c r="G40" s="40" t="n">
        <f aca="false">INDEX('Plan Design'!$O$5:$R$34,MATCH($C40,'Plan Design'!$C$5:$C$34,0),MATCH($E40,'Plan Design'!$O$4:$R$4,0))</f>
        <v>1357.49</v>
      </c>
      <c r="H40" s="40" t="n">
        <f aca="false">INDEX(Assumptions!$C$10:$C$13,MATCH($E40,Assumptions!$B$10:$B$13,0))</f>
        <v>1000</v>
      </c>
      <c r="I40" s="40" t="n">
        <f aca="false">INDEX(Assumptions!$D$18:$D$20,MATCH($A40,Assumptions!$A$18:$A$20,0))</f>
        <v>187.015</v>
      </c>
      <c r="J40" s="41" t="n">
        <f aca="false">MIN($G40,MAX($H40,$I40))</f>
        <v>1000</v>
      </c>
      <c r="K40" s="41" t="n">
        <f aca="false">$G40-$J40</f>
        <v>357.49</v>
      </c>
      <c r="L40" s="42" t="n">
        <f aca="false">$J40*12</f>
        <v>12000</v>
      </c>
      <c r="M40" s="42" t="n">
        <f aca="false">$K40*12</f>
        <v>4289.88</v>
      </c>
      <c r="N40" s="43" t="n">
        <f aca="false">IF($G40=0,0,$J40/$G40)</f>
        <v>0.736653677006829</v>
      </c>
      <c r="O40" s="44" t="n">
        <f aca="false">IF($E40="EE",INDEX('Plan Design'!$F$5:$F$34,MATCH($C40,'Plan Design'!$C$5:$C$34,0)),INDEX('Plan Design'!$G$5:$G$34,MATCH($C40,'Plan Design'!$C$5:$C$34,0)))</f>
        <v>12000</v>
      </c>
      <c r="P40" s="44" t="n">
        <f aca="false">IF($E40="EE",INDEX('Plan Design'!$H$5:$H$34,MATCH($C40,'Plan Design'!$C$5:$C$34,0)),INDEX('Plan Design'!$I$5:$I$34,MATCH($C40,'Plan Design'!$C$5:$C$34,0)))</f>
        <v>13000</v>
      </c>
      <c r="Q40" s="45" t="n">
        <f aca="false">$M40+$P40</f>
        <v>17289.88</v>
      </c>
      <c r="R40" s="6" t="str">
        <f aca="false">$C40&amp;"|"&amp;$E40</f>
        <v>ADP|OA EPO HDHP 6000-80%|FAM</v>
      </c>
    </row>
    <row r="41" customFormat="false" ht="15" hidden="false" customHeight="false" outlineLevel="0" collapsed="false">
      <c r="A41" s="11" t="s">
        <v>32</v>
      </c>
      <c r="B41" s="11" t="s">
        <v>141</v>
      </c>
      <c r="C41" s="11" t="s">
        <v>142</v>
      </c>
      <c r="D41" s="11" t="s">
        <v>12</v>
      </c>
      <c r="E41" s="11" t="s">
        <v>13</v>
      </c>
      <c r="F41" s="33" t="str">
        <f aca="false">INDEX('Plan Design'!$E$5:$E$34,MATCH($C41,'Plan Design'!$C$5:$C$34,0))</f>
        <v>N</v>
      </c>
      <c r="G41" s="34" t="n">
        <f aca="false">INDEX('Plan Design'!$O$5:$R$34,MATCH($C41,'Plan Design'!$C$5:$C$34,0),MATCH($E41,'Plan Design'!$O$4:$R$4,0))</f>
        <v>629.01</v>
      </c>
      <c r="H41" s="34" t="n">
        <f aca="false">INDEX(Assumptions!$C$10:$C$13,MATCH($E41,Assumptions!$B$10:$B$13,0))</f>
        <v>300</v>
      </c>
      <c r="I41" s="34" t="n">
        <f aca="false">INDEX(Assumptions!$D$18:$D$20,MATCH($A41,Assumptions!$A$18:$A$20,0))</f>
        <v>187.015</v>
      </c>
      <c r="J41" s="19" t="n">
        <f aca="false">MIN($G41,MAX($H41,$I41))</f>
        <v>300</v>
      </c>
      <c r="K41" s="19" t="n">
        <f aca="false">$G41-$J41</f>
        <v>329.01</v>
      </c>
      <c r="L41" s="14" t="n">
        <f aca="false">$J41*12</f>
        <v>3600</v>
      </c>
      <c r="M41" s="14" t="n">
        <f aca="false">$K41*12</f>
        <v>3948.12</v>
      </c>
      <c r="N41" s="35" t="n">
        <f aca="false">IF($G41=0,0,$J41/$G41)</f>
        <v>0.476939953259885</v>
      </c>
      <c r="O41" s="36" t="n">
        <f aca="false">IF($E41="EE",INDEX('Plan Design'!$F$5:$F$34,MATCH($C41,'Plan Design'!$C$5:$C$34,0)),INDEX('Plan Design'!$G$5:$G$34,MATCH($C41,'Plan Design'!$C$5:$C$34,0)))</f>
        <v>3000</v>
      </c>
      <c r="P41" s="36" t="n">
        <f aca="false">IF($E41="EE",INDEX('Plan Design'!$H$5:$H$34,MATCH($C41,'Plan Design'!$C$5:$C$34,0)),INDEX('Plan Design'!$I$5:$I$34,MATCH($C41,'Plan Design'!$C$5:$C$34,0)))</f>
        <v>7000</v>
      </c>
      <c r="Q41" s="37" t="n">
        <f aca="false">$M41+$P41</f>
        <v>10948.12</v>
      </c>
      <c r="R41" s="6" t="str">
        <f aca="false">$C41&amp;"|"&amp;$E41</f>
        <v>ADP|OA EPO 3000-80%|EE</v>
      </c>
    </row>
    <row r="42" customFormat="false" ht="15" hidden="false" customHeight="false" outlineLevel="0" collapsed="false">
      <c r="A42" s="38" t="s">
        <v>32</v>
      </c>
      <c r="B42" s="38" t="s">
        <v>141</v>
      </c>
      <c r="C42" s="38" t="s">
        <v>142</v>
      </c>
      <c r="D42" s="38" t="s">
        <v>15</v>
      </c>
      <c r="E42" s="38" t="s">
        <v>16</v>
      </c>
      <c r="F42" s="39" t="str">
        <f aca="false">INDEX('Plan Design'!$E$5:$E$34,MATCH($C42,'Plan Design'!$C$5:$C$34,0))</f>
        <v>N</v>
      </c>
      <c r="G42" s="40" t="n">
        <f aca="false">INDEX('Plan Design'!$O$5:$R$34,MATCH($C42,'Plan Design'!$C$5:$C$34,0),MATCH($E42,'Plan Design'!$O$4:$R$4,0))</f>
        <v>1352.36</v>
      </c>
      <c r="H42" s="40" t="n">
        <f aca="false">INDEX(Assumptions!$C$10:$C$13,MATCH($E42,Assumptions!$B$10:$B$13,0))</f>
        <v>600</v>
      </c>
      <c r="I42" s="40" t="n">
        <f aca="false">INDEX(Assumptions!$D$18:$D$20,MATCH($A42,Assumptions!$A$18:$A$20,0))</f>
        <v>187.015</v>
      </c>
      <c r="J42" s="41" t="n">
        <f aca="false">MIN($G42,MAX($H42,$I42))</f>
        <v>600</v>
      </c>
      <c r="K42" s="41" t="n">
        <f aca="false">$G42-$J42</f>
        <v>752.36</v>
      </c>
      <c r="L42" s="42" t="n">
        <f aca="false">$J42*12</f>
        <v>7200</v>
      </c>
      <c r="M42" s="42" t="n">
        <f aca="false">$K42*12</f>
        <v>9028.32</v>
      </c>
      <c r="N42" s="43" t="n">
        <f aca="false">IF($G42=0,0,$J42/$G42)</f>
        <v>0.443668845573664</v>
      </c>
      <c r="O42" s="44" t="n">
        <f aca="false">IF($E42="EE",INDEX('Plan Design'!$F$5:$F$34,MATCH($C42,'Plan Design'!$C$5:$C$34,0)),INDEX('Plan Design'!$G$5:$G$34,MATCH($C42,'Plan Design'!$C$5:$C$34,0)))</f>
        <v>6000</v>
      </c>
      <c r="P42" s="44" t="n">
        <f aca="false">IF($E42="EE",INDEX('Plan Design'!$H$5:$H$34,MATCH($C42,'Plan Design'!$C$5:$C$34,0)),INDEX('Plan Design'!$I$5:$I$34,MATCH($C42,'Plan Design'!$C$5:$C$34,0)))</f>
        <v>14000</v>
      </c>
      <c r="Q42" s="45" t="n">
        <f aca="false">$M42+$P42</f>
        <v>23028.32</v>
      </c>
      <c r="R42" s="6" t="str">
        <f aca="false">$C42&amp;"|"&amp;$E42</f>
        <v>ADP|OA EPO 3000-80%|ES</v>
      </c>
    </row>
    <row r="43" customFormat="false" ht="15" hidden="false" customHeight="false" outlineLevel="0" collapsed="false">
      <c r="A43" s="11" t="s">
        <v>32</v>
      </c>
      <c r="B43" s="11" t="s">
        <v>141</v>
      </c>
      <c r="C43" s="11" t="s">
        <v>142</v>
      </c>
      <c r="D43" s="11" t="s">
        <v>18</v>
      </c>
      <c r="E43" s="11" t="s">
        <v>19</v>
      </c>
      <c r="F43" s="33" t="str">
        <f aca="false">INDEX('Plan Design'!$E$5:$E$34,MATCH($C43,'Plan Design'!$C$5:$C$34,0))</f>
        <v>N</v>
      </c>
      <c r="G43" s="34" t="n">
        <f aca="false">INDEX('Plan Design'!$O$5:$R$34,MATCH($C43,'Plan Design'!$C$5:$C$34,0),MATCH($E43,'Plan Design'!$O$4:$R$4,0))</f>
        <v>1226.56</v>
      </c>
      <c r="H43" s="34" t="n">
        <f aca="false">INDEX(Assumptions!$C$10:$C$13,MATCH($E43,Assumptions!$B$10:$B$13,0))</f>
        <v>600</v>
      </c>
      <c r="I43" s="34" t="n">
        <f aca="false">INDEX(Assumptions!$D$18:$D$20,MATCH($A43,Assumptions!$A$18:$A$20,0))</f>
        <v>187.015</v>
      </c>
      <c r="J43" s="19" t="n">
        <f aca="false">MIN($G43,MAX($H43,$I43))</f>
        <v>600</v>
      </c>
      <c r="K43" s="19" t="n">
        <f aca="false">$G43-$J43</f>
        <v>626.56</v>
      </c>
      <c r="L43" s="14" t="n">
        <f aca="false">$J43*12</f>
        <v>7200</v>
      </c>
      <c r="M43" s="14" t="n">
        <f aca="false">$K43*12</f>
        <v>7518.72</v>
      </c>
      <c r="N43" s="35" t="n">
        <f aca="false">IF($G43=0,0,$J43/$G43)</f>
        <v>0.489172971562745</v>
      </c>
      <c r="O43" s="36" t="n">
        <f aca="false">IF($E43="EE",INDEX('Plan Design'!$F$5:$F$34,MATCH($C43,'Plan Design'!$C$5:$C$34,0)),INDEX('Plan Design'!$G$5:$G$34,MATCH($C43,'Plan Design'!$C$5:$C$34,0)))</f>
        <v>6000</v>
      </c>
      <c r="P43" s="36" t="n">
        <f aca="false">IF($E43="EE",INDEX('Plan Design'!$H$5:$H$34,MATCH($C43,'Plan Design'!$C$5:$C$34,0)),INDEX('Plan Design'!$I$5:$I$34,MATCH($C43,'Plan Design'!$C$5:$C$34,0)))</f>
        <v>14000</v>
      </c>
      <c r="Q43" s="37" t="n">
        <f aca="false">$M43+$P43</f>
        <v>21518.72</v>
      </c>
      <c r="R43" s="6" t="str">
        <f aca="false">$C43&amp;"|"&amp;$E43</f>
        <v>ADP|OA EPO 3000-80%|EC</v>
      </c>
    </row>
    <row r="44" customFormat="false" ht="15" hidden="false" customHeight="false" outlineLevel="0" collapsed="false">
      <c r="A44" s="38" t="s">
        <v>32</v>
      </c>
      <c r="B44" s="38" t="s">
        <v>141</v>
      </c>
      <c r="C44" s="38" t="s">
        <v>142</v>
      </c>
      <c r="D44" s="38" t="s">
        <v>21</v>
      </c>
      <c r="E44" s="38" t="s">
        <v>22</v>
      </c>
      <c r="F44" s="39" t="str">
        <f aca="false">INDEX('Plan Design'!$E$5:$E$34,MATCH($C44,'Plan Design'!$C$5:$C$34,0))</f>
        <v>N</v>
      </c>
      <c r="G44" s="40" t="n">
        <f aca="false">INDEX('Plan Design'!$O$5:$R$34,MATCH($C44,'Plan Design'!$C$5:$C$34,0),MATCH($E44,'Plan Design'!$O$4:$R$4,0))</f>
        <v>1949.92</v>
      </c>
      <c r="H44" s="40" t="n">
        <f aca="false">INDEX(Assumptions!$C$10:$C$13,MATCH($E44,Assumptions!$B$10:$B$13,0))</f>
        <v>1000</v>
      </c>
      <c r="I44" s="40" t="n">
        <f aca="false">INDEX(Assumptions!$D$18:$D$20,MATCH($A44,Assumptions!$A$18:$A$20,0))</f>
        <v>187.015</v>
      </c>
      <c r="J44" s="41" t="n">
        <f aca="false">MIN($G44,MAX($H44,$I44))</f>
        <v>1000</v>
      </c>
      <c r="K44" s="41" t="n">
        <f aca="false">$G44-$J44</f>
        <v>949.92</v>
      </c>
      <c r="L44" s="42" t="n">
        <f aca="false">$J44*12</f>
        <v>12000</v>
      </c>
      <c r="M44" s="42" t="n">
        <f aca="false">$K44*12</f>
        <v>11399.04</v>
      </c>
      <c r="N44" s="43" t="n">
        <f aca="false">IF($G44=0,0,$J44/$G44)</f>
        <v>0.512841552473948</v>
      </c>
      <c r="O44" s="44" t="n">
        <f aca="false">IF($E44="EE",INDEX('Plan Design'!$F$5:$F$34,MATCH($C44,'Plan Design'!$C$5:$C$34,0)),INDEX('Plan Design'!$G$5:$G$34,MATCH($C44,'Plan Design'!$C$5:$C$34,0)))</f>
        <v>6000</v>
      </c>
      <c r="P44" s="44" t="n">
        <f aca="false">IF($E44="EE",INDEX('Plan Design'!$H$5:$H$34,MATCH($C44,'Plan Design'!$C$5:$C$34,0)),INDEX('Plan Design'!$I$5:$I$34,MATCH($C44,'Plan Design'!$C$5:$C$34,0)))</f>
        <v>14000</v>
      </c>
      <c r="Q44" s="45" t="n">
        <f aca="false">$M44+$P44</f>
        <v>25399.04</v>
      </c>
      <c r="R44" s="6" t="str">
        <f aca="false">$C44&amp;"|"&amp;$E44</f>
        <v>ADP|OA EPO 3000-80%|FAM</v>
      </c>
    </row>
    <row r="45" customFormat="false" ht="15" hidden="false" customHeight="false" outlineLevel="0" collapsed="false">
      <c r="A45" s="11" t="s">
        <v>32</v>
      </c>
      <c r="B45" s="11" t="s">
        <v>33</v>
      </c>
      <c r="C45" s="11" t="s">
        <v>144</v>
      </c>
      <c r="D45" s="11" t="s">
        <v>12</v>
      </c>
      <c r="E45" s="11" t="s">
        <v>13</v>
      </c>
      <c r="F45" s="33" t="str">
        <f aca="false">INDEX('Plan Design'!$E$5:$E$34,MATCH($C45,'Plan Design'!$C$5:$C$34,0))</f>
        <v>N</v>
      </c>
      <c r="G45" s="34" t="n">
        <f aca="false">INDEX('Plan Design'!$O$5:$R$34,MATCH($C45,'Plan Design'!$C$5:$C$34,0),MATCH($E45,'Plan Design'!$O$4:$R$4,0))</f>
        <v>374.03</v>
      </c>
      <c r="H45" s="34" t="n">
        <f aca="false">INDEX(Assumptions!$C$10:$C$13,MATCH($E45,Assumptions!$B$10:$B$13,0))</f>
        <v>300</v>
      </c>
      <c r="I45" s="34" t="n">
        <f aca="false">INDEX(Assumptions!$D$18:$D$20,MATCH($A45,Assumptions!$A$18:$A$20,0))</f>
        <v>187.015</v>
      </c>
      <c r="J45" s="19" t="n">
        <f aca="false">MIN($G45,MAX($H45,$I45))</f>
        <v>300</v>
      </c>
      <c r="K45" s="19" t="n">
        <f aca="false">$G45-$J45</f>
        <v>74.03</v>
      </c>
      <c r="L45" s="14" t="n">
        <f aca="false">$J45*12</f>
        <v>3600</v>
      </c>
      <c r="M45" s="14" t="n">
        <f aca="false">$K45*12</f>
        <v>888.36</v>
      </c>
      <c r="N45" s="35" t="n">
        <f aca="false">IF($G45=0,0,$J45/$G45)</f>
        <v>0.802074699890383</v>
      </c>
      <c r="O45" s="36" t="n">
        <f aca="false">IF($E45="EE",INDEX('Plan Design'!$F$5:$F$34,MATCH($C45,'Plan Design'!$C$5:$C$34,0)),INDEX('Plan Design'!$G$5:$G$34,MATCH($C45,'Plan Design'!$C$5:$C$34,0)))</f>
        <v>8000</v>
      </c>
      <c r="P45" s="36" t="n">
        <f aca="false">IF($E45="EE",INDEX('Plan Design'!$H$5:$H$34,MATCH($C45,'Plan Design'!$C$5:$C$34,0)),INDEX('Plan Design'!$I$5:$I$34,MATCH($C45,'Plan Design'!$C$5:$C$34,0)))</f>
        <v>10000</v>
      </c>
      <c r="Q45" s="37" t="n">
        <f aca="false">$M45+$P45</f>
        <v>10888.36</v>
      </c>
      <c r="R45" s="6" t="str">
        <f aca="false">$C45&amp;"|"&amp;$E45</f>
        <v>ADP|OA EPO 8000-80% ValueINT|EE</v>
      </c>
    </row>
    <row r="46" customFormat="false" ht="15" hidden="false" customHeight="false" outlineLevel="0" collapsed="false">
      <c r="A46" s="38" t="s">
        <v>32</v>
      </c>
      <c r="B46" s="38" t="s">
        <v>33</v>
      </c>
      <c r="C46" s="38" t="s">
        <v>144</v>
      </c>
      <c r="D46" s="38" t="s">
        <v>15</v>
      </c>
      <c r="E46" s="38" t="s">
        <v>16</v>
      </c>
      <c r="F46" s="39" t="str">
        <f aca="false">INDEX('Plan Design'!$E$5:$E$34,MATCH($C46,'Plan Design'!$C$5:$C$34,0))</f>
        <v>N</v>
      </c>
      <c r="G46" s="40" t="n">
        <f aca="false">INDEX('Plan Design'!$O$5:$R$34,MATCH($C46,'Plan Design'!$C$5:$C$34,0),MATCH($E46,'Plan Design'!$O$4:$R$4,0))</f>
        <v>804.17</v>
      </c>
      <c r="H46" s="40" t="n">
        <f aca="false">INDEX(Assumptions!$C$10:$C$13,MATCH($E46,Assumptions!$B$10:$B$13,0))</f>
        <v>600</v>
      </c>
      <c r="I46" s="40" t="n">
        <f aca="false">INDEX(Assumptions!$D$18:$D$20,MATCH($A46,Assumptions!$A$18:$A$20,0))</f>
        <v>187.015</v>
      </c>
      <c r="J46" s="41" t="n">
        <f aca="false">MIN($G46,MAX($H46,$I46))</f>
        <v>600</v>
      </c>
      <c r="K46" s="41" t="n">
        <f aca="false">$G46-$J46</f>
        <v>204.17</v>
      </c>
      <c r="L46" s="42" t="n">
        <f aca="false">$J46*12</f>
        <v>7200</v>
      </c>
      <c r="M46" s="42" t="n">
        <f aca="false">$K46*12</f>
        <v>2450.04</v>
      </c>
      <c r="N46" s="43" t="n">
        <f aca="false">IF($G46=0,0,$J46/$G46)</f>
        <v>0.74611089694965</v>
      </c>
      <c r="O46" s="44" t="n">
        <f aca="false">IF($E46="EE",INDEX('Plan Design'!$F$5:$F$34,MATCH($C46,'Plan Design'!$C$5:$C$34,0)),INDEX('Plan Design'!$G$5:$G$34,MATCH($C46,'Plan Design'!$C$5:$C$34,0)))</f>
        <v>16000</v>
      </c>
      <c r="P46" s="44" t="n">
        <f aca="false">IF($E46="EE",INDEX('Plan Design'!$H$5:$H$34,MATCH($C46,'Plan Design'!$C$5:$C$34,0)),INDEX('Plan Design'!$I$5:$I$34,MATCH($C46,'Plan Design'!$C$5:$C$34,0)))</f>
        <v>20000</v>
      </c>
      <c r="Q46" s="45" t="n">
        <f aca="false">$M46+$P46</f>
        <v>22450.04</v>
      </c>
      <c r="R46" s="6" t="str">
        <f aca="false">$C46&amp;"|"&amp;$E46</f>
        <v>ADP|OA EPO 8000-80% ValueINT|ES</v>
      </c>
    </row>
    <row r="47" customFormat="false" ht="15" hidden="false" customHeight="false" outlineLevel="0" collapsed="false">
      <c r="A47" s="11" t="s">
        <v>32</v>
      </c>
      <c r="B47" s="11" t="s">
        <v>33</v>
      </c>
      <c r="C47" s="11" t="s">
        <v>144</v>
      </c>
      <c r="D47" s="11" t="s">
        <v>18</v>
      </c>
      <c r="E47" s="11" t="s">
        <v>19</v>
      </c>
      <c r="F47" s="33" t="str">
        <f aca="false">INDEX('Plan Design'!$E$5:$E$34,MATCH($C47,'Plan Design'!$C$5:$C$34,0))</f>
        <v>N</v>
      </c>
      <c r="G47" s="34" t="n">
        <f aca="false">INDEX('Plan Design'!$O$5:$R$34,MATCH($C47,'Plan Design'!$C$5:$C$34,0),MATCH($E47,'Plan Design'!$O$4:$R$4,0))</f>
        <v>729.36</v>
      </c>
      <c r="H47" s="34" t="n">
        <f aca="false">INDEX(Assumptions!$C$10:$C$13,MATCH($E47,Assumptions!$B$10:$B$13,0))</f>
        <v>600</v>
      </c>
      <c r="I47" s="34" t="n">
        <f aca="false">INDEX(Assumptions!$D$18:$D$20,MATCH($A47,Assumptions!$A$18:$A$20,0))</f>
        <v>187.015</v>
      </c>
      <c r="J47" s="19" t="n">
        <f aca="false">MIN($G47,MAX($H47,$I47))</f>
        <v>600</v>
      </c>
      <c r="K47" s="19" t="n">
        <f aca="false">$G47-$J47</f>
        <v>129.36</v>
      </c>
      <c r="L47" s="14" t="n">
        <f aca="false">$J47*12</f>
        <v>7200</v>
      </c>
      <c r="M47" s="14" t="n">
        <f aca="false">$K47*12</f>
        <v>1552.32</v>
      </c>
      <c r="N47" s="35" t="n">
        <f aca="false">IF($G47=0,0,$J47/$G47)</f>
        <v>0.822639025995393</v>
      </c>
      <c r="O47" s="36" t="n">
        <f aca="false">IF($E47="EE",INDEX('Plan Design'!$F$5:$F$34,MATCH($C47,'Plan Design'!$C$5:$C$34,0)),INDEX('Plan Design'!$G$5:$G$34,MATCH($C47,'Plan Design'!$C$5:$C$34,0)))</f>
        <v>16000</v>
      </c>
      <c r="P47" s="36" t="n">
        <f aca="false">IF($E47="EE",INDEX('Plan Design'!$H$5:$H$34,MATCH($C47,'Plan Design'!$C$5:$C$34,0)),INDEX('Plan Design'!$I$5:$I$34,MATCH($C47,'Plan Design'!$C$5:$C$34,0)))</f>
        <v>20000</v>
      </c>
      <c r="Q47" s="37" t="n">
        <f aca="false">$M47+$P47</f>
        <v>21552.32</v>
      </c>
      <c r="R47" s="6" t="str">
        <f aca="false">$C47&amp;"|"&amp;$E47</f>
        <v>ADP|OA EPO 8000-80% ValueINT|EC</v>
      </c>
    </row>
    <row r="48" customFormat="false" ht="15" hidden="false" customHeight="false" outlineLevel="0" collapsed="false">
      <c r="A48" s="38" t="s">
        <v>32</v>
      </c>
      <c r="B48" s="38" t="s">
        <v>33</v>
      </c>
      <c r="C48" s="38" t="s">
        <v>144</v>
      </c>
      <c r="D48" s="38" t="s">
        <v>21</v>
      </c>
      <c r="E48" s="38" t="s">
        <v>22</v>
      </c>
      <c r="F48" s="39" t="str">
        <f aca="false">INDEX('Plan Design'!$E$5:$E$34,MATCH($C48,'Plan Design'!$C$5:$C$34,0))</f>
        <v>N</v>
      </c>
      <c r="G48" s="40" t="n">
        <f aca="false">INDEX('Plan Design'!$O$5:$R$34,MATCH($C48,'Plan Design'!$C$5:$C$34,0),MATCH($E48,'Plan Design'!$O$4:$R$4,0))</f>
        <v>1159.51</v>
      </c>
      <c r="H48" s="40" t="n">
        <f aca="false">INDEX(Assumptions!$C$10:$C$13,MATCH($E48,Assumptions!$B$10:$B$13,0))</f>
        <v>1000</v>
      </c>
      <c r="I48" s="40" t="n">
        <f aca="false">INDEX(Assumptions!$D$18:$D$20,MATCH($A48,Assumptions!$A$18:$A$20,0))</f>
        <v>187.015</v>
      </c>
      <c r="J48" s="41" t="n">
        <f aca="false">MIN($G48,MAX($H48,$I48))</f>
        <v>1000</v>
      </c>
      <c r="K48" s="41" t="n">
        <f aca="false">$G48-$J48</f>
        <v>159.51</v>
      </c>
      <c r="L48" s="42" t="n">
        <f aca="false">$J48*12</f>
        <v>12000</v>
      </c>
      <c r="M48" s="42" t="n">
        <f aca="false">$K48*12</f>
        <v>1914.12</v>
      </c>
      <c r="N48" s="43" t="n">
        <f aca="false">IF($G48=0,0,$J48/$G48)</f>
        <v>0.862433269225794</v>
      </c>
      <c r="O48" s="44" t="n">
        <f aca="false">IF($E48="EE",INDEX('Plan Design'!$F$5:$F$34,MATCH($C48,'Plan Design'!$C$5:$C$34,0)),INDEX('Plan Design'!$G$5:$G$34,MATCH($C48,'Plan Design'!$C$5:$C$34,0)))</f>
        <v>16000</v>
      </c>
      <c r="P48" s="44" t="n">
        <f aca="false">IF($E48="EE",INDEX('Plan Design'!$H$5:$H$34,MATCH($C48,'Plan Design'!$C$5:$C$34,0)),INDEX('Plan Design'!$I$5:$I$34,MATCH($C48,'Plan Design'!$C$5:$C$34,0)))</f>
        <v>20000</v>
      </c>
      <c r="Q48" s="45" t="n">
        <f aca="false">$M48+$P48</f>
        <v>21914.12</v>
      </c>
      <c r="R48" s="6" t="str">
        <f aca="false">$C48&amp;"|"&amp;$E48</f>
        <v>ADP|OA EPO 8000-80% ValueINT|FAM</v>
      </c>
    </row>
    <row r="49" customFormat="false" ht="15" hidden="false" customHeight="false" outlineLevel="0" collapsed="false">
      <c r="A49" s="11" t="s">
        <v>35</v>
      </c>
      <c r="B49" s="11" t="s">
        <v>36</v>
      </c>
      <c r="C49" s="11" t="s">
        <v>148</v>
      </c>
      <c r="D49" s="11" t="s">
        <v>12</v>
      </c>
      <c r="E49" s="11" t="s">
        <v>13</v>
      </c>
      <c r="F49" s="33" t="str">
        <f aca="false">INDEX('Plan Design'!$E$5:$E$34,MATCH($C49,'Plan Design'!$C$5:$C$34,0))</f>
        <v>N</v>
      </c>
      <c r="G49" s="34" t="n">
        <f aca="false">INDEX('Plan Design'!$O$5:$R$34,MATCH($C49,'Plan Design'!$C$5:$C$34,0),MATCH($E49,'Plan Design'!$O$4:$R$4,0))</f>
        <v>385</v>
      </c>
      <c r="H49" s="34" t="n">
        <f aca="false">INDEX(Assumptions!$C$10:$C$13,MATCH($E49,Assumptions!$B$10:$B$13,0))</f>
        <v>300</v>
      </c>
      <c r="I49" s="34" t="n">
        <f aca="false">INDEX(Assumptions!$D$18:$D$20,MATCH($A49,Assumptions!$A$18:$A$20,0))</f>
        <v>269.5</v>
      </c>
      <c r="J49" s="19" t="n">
        <f aca="false">MIN($G49,MAX($H49,$I49))</f>
        <v>300</v>
      </c>
      <c r="K49" s="19" t="n">
        <f aca="false">$G49-$J49</f>
        <v>85</v>
      </c>
      <c r="L49" s="14" t="n">
        <f aca="false">$J49*12</f>
        <v>3600</v>
      </c>
      <c r="M49" s="14" t="n">
        <f aca="false">$K49*12</f>
        <v>1020</v>
      </c>
      <c r="N49" s="35" t="n">
        <f aca="false">IF($G49=0,0,$J49/$G49)</f>
        <v>0.779220779220779</v>
      </c>
      <c r="O49" s="36" t="n">
        <f aca="false">IF($E49="EE",INDEX('Plan Design'!$F$5:$F$34,MATCH($C49,'Plan Design'!$C$5:$C$34,0)),INDEX('Plan Design'!$G$5:$G$34,MATCH($C49,'Plan Design'!$C$5:$C$34,0)))</f>
        <v>6500</v>
      </c>
      <c r="P49" s="36" t="n">
        <f aca="false">IF($E49="EE",INDEX('Plan Design'!$H$5:$H$34,MATCH($C49,'Plan Design'!$C$5:$C$34,0)),INDEX('Plan Design'!$I$5:$I$34,MATCH($C49,'Plan Design'!$C$5:$C$34,0)))</f>
        <v>7500</v>
      </c>
      <c r="Q49" s="37" t="n">
        <f aca="false">$M49+$P49</f>
        <v>8520</v>
      </c>
      <c r="R49" s="6" t="str">
        <f aca="false">$C49&amp;"|"&amp;$E49</f>
        <v>TriNet|Aetna ACO 6500 AZ|EE</v>
      </c>
    </row>
    <row r="50" customFormat="false" ht="15" hidden="false" customHeight="false" outlineLevel="0" collapsed="false">
      <c r="A50" s="38" t="s">
        <v>35</v>
      </c>
      <c r="B50" s="38" t="s">
        <v>36</v>
      </c>
      <c r="C50" s="38" t="s">
        <v>148</v>
      </c>
      <c r="D50" s="38" t="s">
        <v>15</v>
      </c>
      <c r="E50" s="38" t="s">
        <v>16</v>
      </c>
      <c r="F50" s="39" t="str">
        <f aca="false">INDEX('Plan Design'!$E$5:$E$34,MATCH($C50,'Plan Design'!$C$5:$C$34,0))</f>
        <v>N</v>
      </c>
      <c r="G50" s="40" t="n">
        <f aca="false">INDEX('Plan Design'!$O$5:$R$34,MATCH($C50,'Plan Design'!$C$5:$C$34,0),MATCH($E50,'Plan Design'!$O$4:$R$4,0))</f>
        <v>889</v>
      </c>
      <c r="H50" s="40" t="n">
        <f aca="false">INDEX(Assumptions!$C$10:$C$13,MATCH($E50,Assumptions!$B$10:$B$13,0))</f>
        <v>600</v>
      </c>
      <c r="I50" s="40" t="n">
        <f aca="false">INDEX(Assumptions!$D$18:$D$20,MATCH($A50,Assumptions!$A$18:$A$20,0))</f>
        <v>269.5</v>
      </c>
      <c r="J50" s="41" t="n">
        <f aca="false">MIN($G50,MAX($H50,$I50))</f>
        <v>600</v>
      </c>
      <c r="K50" s="41" t="n">
        <f aca="false">$G50-$J50</f>
        <v>289</v>
      </c>
      <c r="L50" s="42" t="n">
        <f aca="false">$J50*12</f>
        <v>7200</v>
      </c>
      <c r="M50" s="42" t="n">
        <f aca="false">$K50*12</f>
        <v>3468</v>
      </c>
      <c r="N50" s="43" t="n">
        <f aca="false">IF($G50=0,0,$J50/$G50)</f>
        <v>0.674915635545557</v>
      </c>
      <c r="O50" s="44" t="n">
        <f aca="false">IF($E50="EE",INDEX('Plan Design'!$F$5:$F$34,MATCH($C50,'Plan Design'!$C$5:$C$34,0)),INDEX('Plan Design'!$G$5:$G$34,MATCH($C50,'Plan Design'!$C$5:$C$34,0)))</f>
        <v>13000</v>
      </c>
      <c r="P50" s="44" t="n">
        <f aca="false">IF($E50="EE",INDEX('Plan Design'!$H$5:$H$34,MATCH($C50,'Plan Design'!$C$5:$C$34,0)),INDEX('Plan Design'!$I$5:$I$34,MATCH($C50,'Plan Design'!$C$5:$C$34,0)))</f>
        <v>15000</v>
      </c>
      <c r="Q50" s="45" t="n">
        <f aca="false">$M50+$P50</f>
        <v>18468</v>
      </c>
      <c r="R50" s="6" t="str">
        <f aca="false">$C50&amp;"|"&amp;$E50</f>
        <v>TriNet|Aetna ACO 6500 AZ|ES</v>
      </c>
    </row>
    <row r="51" customFormat="false" ht="15" hidden="false" customHeight="false" outlineLevel="0" collapsed="false">
      <c r="A51" s="11" t="s">
        <v>35</v>
      </c>
      <c r="B51" s="11" t="s">
        <v>36</v>
      </c>
      <c r="C51" s="11" t="s">
        <v>148</v>
      </c>
      <c r="D51" s="11" t="s">
        <v>18</v>
      </c>
      <c r="E51" s="11" t="s">
        <v>19</v>
      </c>
      <c r="F51" s="33" t="str">
        <f aca="false">INDEX('Plan Design'!$E$5:$E$34,MATCH($C51,'Plan Design'!$C$5:$C$34,0))</f>
        <v>N</v>
      </c>
      <c r="G51" s="34" t="n">
        <f aca="false">INDEX('Plan Design'!$O$5:$R$34,MATCH($C51,'Plan Design'!$C$5:$C$34,0),MATCH($E51,'Plan Design'!$O$4:$R$4,0))</f>
        <v>785</v>
      </c>
      <c r="H51" s="34" t="n">
        <f aca="false">INDEX(Assumptions!$C$10:$C$13,MATCH($E51,Assumptions!$B$10:$B$13,0))</f>
        <v>600</v>
      </c>
      <c r="I51" s="34" t="n">
        <f aca="false">INDEX(Assumptions!$D$18:$D$20,MATCH($A51,Assumptions!$A$18:$A$20,0))</f>
        <v>269.5</v>
      </c>
      <c r="J51" s="19" t="n">
        <f aca="false">MIN($G51,MAX($H51,$I51))</f>
        <v>600</v>
      </c>
      <c r="K51" s="19" t="n">
        <f aca="false">$G51-$J51</f>
        <v>185</v>
      </c>
      <c r="L51" s="14" t="n">
        <f aca="false">$J51*12</f>
        <v>7200</v>
      </c>
      <c r="M51" s="14" t="n">
        <f aca="false">$K51*12</f>
        <v>2220</v>
      </c>
      <c r="N51" s="35" t="n">
        <f aca="false">IF($G51=0,0,$J51/$G51)</f>
        <v>0.764331210191083</v>
      </c>
      <c r="O51" s="36" t="n">
        <f aca="false">IF($E51="EE",INDEX('Plan Design'!$F$5:$F$34,MATCH($C51,'Plan Design'!$C$5:$C$34,0)),INDEX('Plan Design'!$G$5:$G$34,MATCH($C51,'Plan Design'!$C$5:$C$34,0)))</f>
        <v>13000</v>
      </c>
      <c r="P51" s="36" t="n">
        <f aca="false">IF($E51="EE",INDEX('Plan Design'!$H$5:$H$34,MATCH($C51,'Plan Design'!$C$5:$C$34,0)),INDEX('Plan Design'!$I$5:$I$34,MATCH($C51,'Plan Design'!$C$5:$C$34,0)))</f>
        <v>15000</v>
      </c>
      <c r="Q51" s="37" t="n">
        <f aca="false">$M51+$P51</f>
        <v>17220</v>
      </c>
      <c r="R51" s="6" t="str">
        <f aca="false">$C51&amp;"|"&amp;$E51</f>
        <v>TriNet|Aetna ACO 6500 AZ|EC</v>
      </c>
    </row>
    <row r="52" customFormat="false" ht="15" hidden="false" customHeight="false" outlineLevel="0" collapsed="false">
      <c r="A52" s="38" t="s">
        <v>35</v>
      </c>
      <c r="B52" s="38" t="s">
        <v>36</v>
      </c>
      <c r="C52" s="38" t="s">
        <v>148</v>
      </c>
      <c r="D52" s="38" t="s">
        <v>21</v>
      </c>
      <c r="E52" s="38" t="s">
        <v>22</v>
      </c>
      <c r="F52" s="39" t="str">
        <f aca="false">INDEX('Plan Design'!$E$5:$E$34,MATCH($C52,'Plan Design'!$C$5:$C$34,0))</f>
        <v>N</v>
      </c>
      <c r="G52" s="40" t="n">
        <f aca="false">INDEX('Plan Design'!$O$5:$R$34,MATCH($C52,'Plan Design'!$C$5:$C$34,0),MATCH($E52,'Plan Design'!$O$4:$R$4,0))</f>
        <v>1166</v>
      </c>
      <c r="H52" s="40" t="n">
        <f aca="false">INDEX(Assumptions!$C$10:$C$13,MATCH($E52,Assumptions!$B$10:$B$13,0))</f>
        <v>1000</v>
      </c>
      <c r="I52" s="40" t="n">
        <f aca="false">INDEX(Assumptions!$D$18:$D$20,MATCH($A52,Assumptions!$A$18:$A$20,0))</f>
        <v>269.5</v>
      </c>
      <c r="J52" s="41" t="n">
        <f aca="false">MIN($G52,MAX($H52,$I52))</f>
        <v>1000</v>
      </c>
      <c r="K52" s="41" t="n">
        <f aca="false">$G52-$J52</f>
        <v>166</v>
      </c>
      <c r="L52" s="42" t="n">
        <f aca="false">$J52*12</f>
        <v>12000</v>
      </c>
      <c r="M52" s="42" t="n">
        <f aca="false">$K52*12</f>
        <v>1992</v>
      </c>
      <c r="N52" s="43" t="n">
        <f aca="false">IF($G52=0,0,$J52/$G52)</f>
        <v>0.857632933104631</v>
      </c>
      <c r="O52" s="44" t="n">
        <f aca="false">IF($E52="EE",INDEX('Plan Design'!$F$5:$F$34,MATCH($C52,'Plan Design'!$C$5:$C$34,0)),INDEX('Plan Design'!$G$5:$G$34,MATCH($C52,'Plan Design'!$C$5:$C$34,0)))</f>
        <v>13000</v>
      </c>
      <c r="P52" s="44" t="n">
        <f aca="false">IF($E52="EE",INDEX('Plan Design'!$H$5:$H$34,MATCH($C52,'Plan Design'!$C$5:$C$34,0)),INDEX('Plan Design'!$I$5:$I$34,MATCH($C52,'Plan Design'!$C$5:$C$34,0)))</f>
        <v>15000</v>
      </c>
      <c r="Q52" s="45" t="n">
        <f aca="false">$M52+$P52</f>
        <v>16992</v>
      </c>
      <c r="R52" s="6" t="str">
        <f aca="false">$C52&amp;"|"&amp;$E52</f>
        <v>TriNet|Aetna ACO 6500 AZ|FAM</v>
      </c>
    </row>
    <row r="53" customFormat="false" ht="15" hidden="false" customHeight="false" outlineLevel="0" collapsed="false">
      <c r="A53" s="11" t="s">
        <v>35</v>
      </c>
      <c r="B53" s="11" t="s">
        <v>153</v>
      </c>
      <c r="C53" s="11" t="s">
        <v>154</v>
      </c>
      <c r="D53" s="11" t="s">
        <v>12</v>
      </c>
      <c r="E53" s="11" t="s">
        <v>13</v>
      </c>
      <c r="F53" s="33" t="str">
        <f aca="false">INDEX('Plan Design'!$E$5:$E$34,MATCH($C53,'Plan Design'!$C$5:$C$34,0))</f>
        <v>N</v>
      </c>
      <c r="G53" s="34" t="n">
        <f aca="false">INDEX('Plan Design'!$O$5:$R$34,MATCH($C53,'Plan Design'!$C$5:$C$34,0),MATCH($E53,'Plan Design'!$O$4:$R$4,0))</f>
        <v>400</v>
      </c>
      <c r="H53" s="34" t="n">
        <f aca="false">INDEX(Assumptions!$C$10:$C$13,MATCH($E53,Assumptions!$B$10:$B$13,0))</f>
        <v>300</v>
      </c>
      <c r="I53" s="34" t="n">
        <f aca="false">INDEX(Assumptions!$D$18:$D$20,MATCH($A53,Assumptions!$A$18:$A$20,0))</f>
        <v>269.5</v>
      </c>
      <c r="J53" s="19" t="n">
        <f aca="false">MIN($G53,MAX($H53,$I53))</f>
        <v>300</v>
      </c>
      <c r="K53" s="19" t="n">
        <f aca="false">$G53-$J53</f>
        <v>100</v>
      </c>
      <c r="L53" s="14" t="n">
        <f aca="false">$J53*12</f>
        <v>3600</v>
      </c>
      <c r="M53" s="14" t="n">
        <f aca="false">$K53*12</f>
        <v>1200</v>
      </c>
      <c r="N53" s="35" t="n">
        <f aca="false">IF($G53=0,0,$J53/$G53)</f>
        <v>0.75</v>
      </c>
      <c r="O53" s="36" t="n">
        <f aca="false">IF($E53="EE",INDEX('Plan Design'!$F$5:$F$34,MATCH($C53,'Plan Design'!$C$5:$C$34,0)),INDEX('Plan Design'!$G$5:$G$34,MATCH($C53,'Plan Design'!$C$5:$C$34,0)))</f>
        <v>7150</v>
      </c>
      <c r="P53" s="36" t="n">
        <f aca="false">IF($E53="EE",INDEX('Plan Design'!$H$5:$H$34,MATCH($C53,'Plan Design'!$C$5:$C$34,0)),INDEX('Plan Design'!$I$5:$I$34,MATCH($C53,'Plan Design'!$C$5:$C$34,0)))</f>
        <v>7600</v>
      </c>
      <c r="Q53" s="37" t="n">
        <f aca="false">$M53+$P53</f>
        <v>8800</v>
      </c>
      <c r="R53" s="6" t="str">
        <f aca="false">$C53&amp;"|"&amp;$E53</f>
        <v>TriNet|Aetna PPO 7150|EE</v>
      </c>
    </row>
    <row r="54" customFormat="false" ht="15" hidden="false" customHeight="false" outlineLevel="0" collapsed="false">
      <c r="A54" s="38" t="s">
        <v>35</v>
      </c>
      <c r="B54" s="38" t="s">
        <v>153</v>
      </c>
      <c r="C54" s="38" t="s">
        <v>154</v>
      </c>
      <c r="D54" s="38" t="s">
        <v>15</v>
      </c>
      <c r="E54" s="38" t="s">
        <v>16</v>
      </c>
      <c r="F54" s="39" t="str">
        <f aca="false">INDEX('Plan Design'!$E$5:$E$34,MATCH($C54,'Plan Design'!$C$5:$C$34,0))</f>
        <v>N</v>
      </c>
      <c r="G54" s="40" t="n">
        <f aca="false">INDEX('Plan Design'!$O$5:$R$34,MATCH($C54,'Plan Design'!$C$5:$C$34,0),MATCH($E54,'Plan Design'!$O$4:$R$4,0))</f>
        <v>924</v>
      </c>
      <c r="H54" s="40" t="n">
        <f aca="false">INDEX(Assumptions!$C$10:$C$13,MATCH($E54,Assumptions!$B$10:$B$13,0))</f>
        <v>600</v>
      </c>
      <c r="I54" s="40" t="n">
        <f aca="false">INDEX(Assumptions!$D$18:$D$20,MATCH($A54,Assumptions!$A$18:$A$20,0))</f>
        <v>269.5</v>
      </c>
      <c r="J54" s="41" t="n">
        <f aca="false">MIN($G54,MAX($H54,$I54))</f>
        <v>600</v>
      </c>
      <c r="K54" s="41" t="n">
        <f aca="false">$G54-$J54</f>
        <v>324</v>
      </c>
      <c r="L54" s="42" t="n">
        <f aca="false">$J54*12</f>
        <v>7200</v>
      </c>
      <c r="M54" s="42" t="n">
        <f aca="false">$K54*12</f>
        <v>3888</v>
      </c>
      <c r="N54" s="43" t="n">
        <f aca="false">IF($G54=0,0,$J54/$G54)</f>
        <v>0.649350649350649</v>
      </c>
      <c r="O54" s="44" t="n">
        <f aca="false">IF($E54="EE",INDEX('Plan Design'!$F$5:$F$34,MATCH($C54,'Plan Design'!$C$5:$C$34,0)),INDEX('Plan Design'!$G$5:$G$34,MATCH($C54,'Plan Design'!$C$5:$C$34,0)))</f>
        <v>14300</v>
      </c>
      <c r="P54" s="44" t="n">
        <f aca="false">IF($E54="EE",INDEX('Plan Design'!$H$5:$H$34,MATCH($C54,'Plan Design'!$C$5:$C$34,0)),INDEX('Plan Design'!$I$5:$I$34,MATCH($C54,'Plan Design'!$C$5:$C$34,0)))</f>
        <v>15200</v>
      </c>
      <c r="Q54" s="45" t="n">
        <f aca="false">$M54+$P54</f>
        <v>19088</v>
      </c>
      <c r="R54" s="6" t="str">
        <f aca="false">$C54&amp;"|"&amp;$E54</f>
        <v>TriNet|Aetna PPO 7150|ES</v>
      </c>
    </row>
    <row r="55" customFormat="false" ht="15" hidden="false" customHeight="false" outlineLevel="0" collapsed="false">
      <c r="A55" s="11" t="s">
        <v>35</v>
      </c>
      <c r="B55" s="11" t="s">
        <v>153</v>
      </c>
      <c r="C55" s="11" t="s">
        <v>154</v>
      </c>
      <c r="D55" s="11" t="s">
        <v>18</v>
      </c>
      <c r="E55" s="11" t="s">
        <v>19</v>
      </c>
      <c r="F55" s="33" t="str">
        <f aca="false">INDEX('Plan Design'!$E$5:$E$34,MATCH($C55,'Plan Design'!$C$5:$C$34,0))</f>
        <v>N</v>
      </c>
      <c r="G55" s="34" t="n">
        <f aca="false">INDEX('Plan Design'!$O$5:$R$34,MATCH($C55,'Plan Design'!$C$5:$C$34,0),MATCH($E55,'Plan Design'!$O$4:$R$4,0))</f>
        <v>816</v>
      </c>
      <c r="H55" s="34" t="n">
        <f aca="false">INDEX(Assumptions!$C$10:$C$13,MATCH($E55,Assumptions!$B$10:$B$13,0))</f>
        <v>600</v>
      </c>
      <c r="I55" s="34" t="n">
        <f aca="false">INDEX(Assumptions!$D$18:$D$20,MATCH($A55,Assumptions!$A$18:$A$20,0))</f>
        <v>269.5</v>
      </c>
      <c r="J55" s="19" t="n">
        <f aca="false">MIN($G55,MAX($H55,$I55))</f>
        <v>600</v>
      </c>
      <c r="K55" s="19" t="n">
        <f aca="false">$G55-$J55</f>
        <v>216</v>
      </c>
      <c r="L55" s="14" t="n">
        <f aca="false">$J55*12</f>
        <v>7200</v>
      </c>
      <c r="M55" s="14" t="n">
        <f aca="false">$K55*12</f>
        <v>2592</v>
      </c>
      <c r="N55" s="35" t="n">
        <f aca="false">IF($G55=0,0,$J55/$G55)</f>
        <v>0.735294117647059</v>
      </c>
      <c r="O55" s="36" t="n">
        <f aca="false">IF($E55="EE",INDEX('Plan Design'!$F$5:$F$34,MATCH($C55,'Plan Design'!$C$5:$C$34,0)),INDEX('Plan Design'!$G$5:$G$34,MATCH($C55,'Plan Design'!$C$5:$C$34,0)))</f>
        <v>14300</v>
      </c>
      <c r="P55" s="36" t="n">
        <f aca="false">IF($E55="EE",INDEX('Plan Design'!$H$5:$H$34,MATCH($C55,'Plan Design'!$C$5:$C$34,0)),INDEX('Plan Design'!$I$5:$I$34,MATCH($C55,'Plan Design'!$C$5:$C$34,0)))</f>
        <v>15200</v>
      </c>
      <c r="Q55" s="37" t="n">
        <f aca="false">$M55+$P55</f>
        <v>17792</v>
      </c>
      <c r="R55" s="6" t="str">
        <f aca="false">$C55&amp;"|"&amp;$E55</f>
        <v>TriNet|Aetna PPO 7150|EC</v>
      </c>
    </row>
    <row r="56" customFormat="false" ht="15" hidden="false" customHeight="false" outlineLevel="0" collapsed="false">
      <c r="A56" s="38" t="s">
        <v>35</v>
      </c>
      <c r="B56" s="38" t="s">
        <v>153</v>
      </c>
      <c r="C56" s="38" t="s">
        <v>154</v>
      </c>
      <c r="D56" s="38" t="s">
        <v>21</v>
      </c>
      <c r="E56" s="38" t="s">
        <v>22</v>
      </c>
      <c r="F56" s="39" t="str">
        <f aca="false">INDEX('Plan Design'!$E$5:$E$34,MATCH($C56,'Plan Design'!$C$5:$C$34,0))</f>
        <v>N</v>
      </c>
      <c r="G56" s="40" t="n">
        <f aca="false">INDEX('Plan Design'!$O$5:$R$34,MATCH($C56,'Plan Design'!$C$5:$C$34,0),MATCH($E56,'Plan Design'!$O$4:$R$4,0))</f>
        <v>1212</v>
      </c>
      <c r="H56" s="40" t="n">
        <f aca="false">INDEX(Assumptions!$C$10:$C$13,MATCH($E56,Assumptions!$B$10:$B$13,0))</f>
        <v>1000</v>
      </c>
      <c r="I56" s="40" t="n">
        <f aca="false">INDEX(Assumptions!$D$18:$D$20,MATCH($A56,Assumptions!$A$18:$A$20,0))</f>
        <v>269.5</v>
      </c>
      <c r="J56" s="41" t="n">
        <f aca="false">MIN($G56,MAX($H56,$I56))</f>
        <v>1000</v>
      </c>
      <c r="K56" s="41" t="n">
        <f aca="false">$G56-$J56</f>
        <v>212</v>
      </c>
      <c r="L56" s="42" t="n">
        <f aca="false">$J56*12</f>
        <v>12000</v>
      </c>
      <c r="M56" s="42" t="n">
        <f aca="false">$K56*12</f>
        <v>2544</v>
      </c>
      <c r="N56" s="43" t="n">
        <f aca="false">IF($G56=0,0,$J56/$G56)</f>
        <v>0.825082508250825</v>
      </c>
      <c r="O56" s="44" t="n">
        <f aca="false">IF($E56="EE",INDEX('Plan Design'!$F$5:$F$34,MATCH($C56,'Plan Design'!$C$5:$C$34,0)),INDEX('Plan Design'!$G$5:$G$34,MATCH($C56,'Plan Design'!$C$5:$C$34,0)))</f>
        <v>14300</v>
      </c>
      <c r="P56" s="44" t="n">
        <f aca="false">IF($E56="EE",INDEX('Plan Design'!$H$5:$H$34,MATCH($C56,'Plan Design'!$C$5:$C$34,0)),INDEX('Plan Design'!$I$5:$I$34,MATCH($C56,'Plan Design'!$C$5:$C$34,0)))</f>
        <v>15200</v>
      </c>
      <c r="Q56" s="45" t="n">
        <f aca="false">$M56+$P56</f>
        <v>17744</v>
      </c>
      <c r="R56" s="6" t="str">
        <f aca="false">$C56&amp;"|"&amp;$E56</f>
        <v>TriNet|Aetna PPO 7150|FAM</v>
      </c>
    </row>
    <row r="57" customFormat="false" ht="15" hidden="false" customHeight="false" outlineLevel="0" collapsed="false">
      <c r="A57" s="11" t="s">
        <v>35</v>
      </c>
      <c r="B57" s="11" t="s">
        <v>159</v>
      </c>
      <c r="C57" s="11" t="s">
        <v>160</v>
      </c>
      <c r="D57" s="11" t="s">
        <v>12</v>
      </c>
      <c r="E57" s="11" t="s">
        <v>13</v>
      </c>
      <c r="F57" s="33" t="str">
        <f aca="false">INDEX('Plan Design'!$E$5:$E$34,MATCH($C57,'Plan Design'!$C$5:$C$34,0))</f>
        <v>Y</v>
      </c>
      <c r="G57" s="34" t="n">
        <f aca="false">INDEX('Plan Design'!$O$5:$R$34,MATCH($C57,'Plan Design'!$C$5:$C$34,0),MATCH($E57,'Plan Design'!$O$4:$R$4,0))</f>
        <v>410</v>
      </c>
      <c r="H57" s="34" t="n">
        <f aca="false">INDEX(Assumptions!$C$10:$C$13,MATCH($E57,Assumptions!$B$10:$B$13,0))</f>
        <v>300</v>
      </c>
      <c r="I57" s="34" t="n">
        <f aca="false">INDEX(Assumptions!$D$18:$D$20,MATCH($A57,Assumptions!$A$18:$A$20,0))</f>
        <v>269.5</v>
      </c>
      <c r="J57" s="19" t="n">
        <f aca="false">MIN($G57,MAX($H57,$I57))</f>
        <v>300</v>
      </c>
      <c r="K57" s="19" t="n">
        <f aca="false">$G57-$J57</f>
        <v>110</v>
      </c>
      <c r="L57" s="14" t="n">
        <f aca="false">$J57*12</f>
        <v>3600</v>
      </c>
      <c r="M57" s="14" t="n">
        <f aca="false">$K57*12</f>
        <v>1320</v>
      </c>
      <c r="N57" s="35" t="n">
        <f aca="false">IF($G57=0,0,$J57/$G57)</f>
        <v>0.731707317073171</v>
      </c>
      <c r="O57" s="36" t="n">
        <f aca="false">IF($E57="EE",INDEX('Plan Design'!$F$5:$F$34,MATCH($C57,'Plan Design'!$C$5:$C$34,0)),INDEX('Plan Design'!$G$5:$G$34,MATCH($C57,'Plan Design'!$C$5:$C$34,0)))</f>
        <v>6350</v>
      </c>
      <c r="P57" s="36" t="n">
        <f aca="false">IF($E57="EE",INDEX('Plan Design'!$H$5:$H$34,MATCH($C57,'Plan Design'!$C$5:$C$34,0)),INDEX('Plan Design'!$I$5:$I$34,MATCH($C57,'Plan Design'!$C$5:$C$34,0)))</f>
        <v>6350</v>
      </c>
      <c r="Q57" s="37" t="n">
        <f aca="false">$M57+$P57</f>
        <v>7670</v>
      </c>
      <c r="R57" s="6" t="str">
        <f aca="false">$C57&amp;"|"&amp;$E57</f>
        <v>TriNet|Aetna HDHP 6350|EE</v>
      </c>
    </row>
    <row r="58" customFormat="false" ht="15" hidden="false" customHeight="false" outlineLevel="0" collapsed="false">
      <c r="A58" s="38" t="s">
        <v>35</v>
      </c>
      <c r="B58" s="38" t="s">
        <v>159</v>
      </c>
      <c r="C58" s="38" t="s">
        <v>160</v>
      </c>
      <c r="D58" s="38" t="s">
        <v>15</v>
      </c>
      <c r="E58" s="38" t="s">
        <v>16</v>
      </c>
      <c r="F58" s="39" t="str">
        <f aca="false">INDEX('Plan Design'!$E$5:$E$34,MATCH($C58,'Plan Design'!$C$5:$C$34,0))</f>
        <v>Y</v>
      </c>
      <c r="G58" s="40" t="n">
        <f aca="false">INDEX('Plan Design'!$O$5:$R$34,MATCH($C58,'Plan Design'!$C$5:$C$34,0),MATCH($E58,'Plan Design'!$O$4:$R$4,0))</f>
        <v>947</v>
      </c>
      <c r="H58" s="40" t="n">
        <f aca="false">INDEX(Assumptions!$C$10:$C$13,MATCH($E58,Assumptions!$B$10:$B$13,0))</f>
        <v>600</v>
      </c>
      <c r="I58" s="40" t="n">
        <f aca="false">INDEX(Assumptions!$D$18:$D$20,MATCH($A58,Assumptions!$A$18:$A$20,0))</f>
        <v>269.5</v>
      </c>
      <c r="J58" s="41" t="n">
        <f aca="false">MIN($G58,MAX($H58,$I58))</f>
        <v>600</v>
      </c>
      <c r="K58" s="41" t="n">
        <f aca="false">$G58-$J58</f>
        <v>347</v>
      </c>
      <c r="L58" s="42" t="n">
        <f aca="false">$J58*12</f>
        <v>7200</v>
      </c>
      <c r="M58" s="42" t="n">
        <f aca="false">$K58*12</f>
        <v>4164</v>
      </c>
      <c r="N58" s="43" t="n">
        <f aca="false">IF($G58=0,0,$J58/$G58)</f>
        <v>0.633579725448786</v>
      </c>
      <c r="O58" s="44" t="n">
        <f aca="false">IF($E58="EE",INDEX('Plan Design'!$F$5:$F$34,MATCH($C58,'Plan Design'!$C$5:$C$34,0)),INDEX('Plan Design'!$G$5:$G$34,MATCH($C58,'Plan Design'!$C$5:$C$34,0)))</f>
        <v>12700</v>
      </c>
      <c r="P58" s="44" t="n">
        <f aca="false">IF($E58="EE",INDEX('Plan Design'!$H$5:$H$34,MATCH($C58,'Plan Design'!$C$5:$C$34,0)),INDEX('Plan Design'!$I$5:$I$34,MATCH($C58,'Plan Design'!$C$5:$C$34,0)))</f>
        <v>12700</v>
      </c>
      <c r="Q58" s="45" t="n">
        <f aca="false">$M58+$P58</f>
        <v>16864</v>
      </c>
      <c r="R58" s="6" t="str">
        <f aca="false">$C58&amp;"|"&amp;$E58</f>
        <v>TriNet|Aetna HDHP 6350|ES</v>
      </c>
    </row>
    <row r="59" customFormat="false" ht="15" hidden="false" customHeight="false" outlineLevel="0" collapsed="false">
      <c r="A59" s="11" t="s">
        <v>35</v>
      </c>
      <c r="B59" s="11" t="s">
        <v>159</v>
      </c>
      <c r="C59" s="11" t="s">
        <v>160</v>
      </c>
      <c r="D59" s="11" t="s">
        <v>18</v>
      </c>
      <c r="E59" s="11" t="s">
        <v>19</v>
      </c>
      <c r="F59" s="33" t="str">
        <f aca="false">INDEX('Plan Design'!$E$5:$E$34,MATCH($C59,'Plan Design'!$C$5:$C$34,0))</f>
        <v>Y</v>
      </c>
      <c r="G59" s="34" t="n">
        <f aca="false">INDEX('Plan Design'!$O$5:$R$34,MATCH($C59,'Plan Design'!$C$5:$C$34,0),MATCH($E59,'Plan Design'!$O$4:$R$4,0))</f>
        <v>836</v>
      </c>
      <c r="H59" s="34" t="n">
        <f aca="false">INDEX(Assumptions!$C$10:$C$13,MATCH($E59,Assumptions!$B$10:$B$13,0))</f>
        <v>600</v>
      </c>
      <c r="I59" s="34" t="n">
        <f aca="false">INDEX(Assumptions!$D$18:$D$20,MATCH($A59,Assumptions!$A$18:$A$20,0))</f>
        <v>269.5</v>
      </c>
      <c r="J59" s="19" t="n">
        <f aca="false">MIN($G59,MAX($H59,$I59))</f>
        <v>600</v>
      </c>
      <c r="K59" s="19" t="n">
        <f aca="false">$G59-$J59</f>
        <v>236</v>
      </c>
      <c r="L59" s="14" t="n">
        <f aca="false">$J59*12</f>
        <v>7200</v>
      </c>
      <c r="M59" s="14" t="n">
        <f aca="false">$K59*12</f>
        <v>2832</v>
      </c>
      <c r="N59" s="35" t="n">
        <f aca="false">IF($G59=0,0,$J59/$G59)</f>
        <v>0.717703349282297</v>
      </c>
      <c r="O59" s="36" t="n">
        <f aca="false">IF($E59="EE",INDEX('Plan Design'!$F$5:$F$34,MATCH($C59,'Plan Design'!$C$5:$C$34,0)),INDEX('Plan Design'!$G$5:$G$34,MATCH($C59,'Plan Design'!$C$5:$C$34,0)))</f>
        <v>12700</v>
      </c>
      <c r="P59" s="36" t="n">
        <f aca="false">IF($E59="EE",INDEX('Plan Design'!$H$5:$H$34,MATCH($C59,'Plan Design'!$C$5:$C$34,0)),INDEX('Plan Design'!$I$5:$I$34,MATCH($C59,'Plan Design'!$C$5:$C$34,0)))</f>
        <v>12700</v>
      </c>
      <c r="Q59" s="37" t="n">
        <f aca="false">$M59+$P59</f>
        <v>15532</v>
      </c>
      <c r="R59" s="6" t="str">
        <f aca="false">$C59&amp;"|"&amp;$E59</f>
        <v>TriNet|Aetna HDHP 6350|EC</v>
      </c>
    </row>
    <row r="60" customFormat="false" ht="15" hidden="false" customHeight="false" outlineLevel="0" collapsed="false">
      <c r="A60" s="38" t="s">
        <v>35</v>
      </c>
      <c r="B60" s="38" t="s">
        <v>159</v>
      </c>
      <c r="C60" s="38" t="s">
        <v>160</v>
      </c>
      <c r="D60" s="38" t="s">
        <v>21</v>
      </c>
      <c r="E60" s="38" t="s">
        <v>22</v>
      </c>
      <c r="F60" s="39" t="str">
        <f aca="false">INDEX('Plan Design'!$E$5:$E$34,MATCH($C60,'Plan Design'!$C$5:$C$34,0))</f>
        <v>Y</v>
      </c>
      <c r="G60" s="40" t="n">
        <f aca="false">INDEX('Plan Design'!$O$5:$R$34,MATCH($C60,'Plan Design'!$C$5:$C$34,0),MATCH($E60,'Plan Design'!$O$4:$R$4,0))</f>
        <v>1242</v>
      </c>
      <c r="H60" s="40" t="n">
        <f aca="false">INDEX(Assumptions!$C$10:$C$13,MATCH($E60,Assumptions!$B$10:$B$13,0))</f>
        <v>1000</v>
      </c>
      <c r="I60" s="40" t="n">
        <f aca="false">INDEX(Assumptions!$D$18:$D$20,MATCH($A60,Assumptions!$A$18:$A$20,0))</f>
        <v>269.5</v>
      </c>
      <c r="J60" s="41" t="n">
        <f aca="false">MIN($G60,MAX($H60,$I60))</f>
        <v>1000</v>
      </c>
      <c r="K60" s="41" t="n">
        <f aca="false">$G60-$J60</f>
        <v>242</v>
      </c>
      <c r="L60" s="42" t="n">
        <f aca="false">$J60*12</f>
        <v>12000</v>
      </c>
      <c r="M60" s="42" t="n">
        <f aca="false">$K60*12</f>
        <v>2904</v>
      </c>
      <c r="N60" s="43" t="n">
        <f aca="false">IF($G60=0,0,$J60/$G60)</f>
        <v>0.805152979066023</v>
      </c>
      <c r="O60" s="44" t="n">
        <f aca="false">IF($E60="EE",INDEX('Plan Design'!$F$5:$F$34,MATCH($C60,'Plan Design'!$C$5:$C$34,0)),INDEX('Plan Design'!$G$5:$G$34,MATCH($C60,'Plan Design'!$C$5:$C$34,0)))</f>
        <v>12700</v>
      </c>
      <c r="P60" s="44" t="n">
        <f aca="false">IF($E60="EE",INDEX('Plan Design'!$H$5:$H$34,MATCH($C60,'Plan Design'!$C$5:$C$34,0)),INDEX('Plan Design'!$I$5:$I$34,MATCH($C60,'Plan Design'!$C$5:$C$34,0)))</f>
        <v>12700</v>
      </c>
      <c r="Q60" s="45" t="n">
        <f aca="false">$M60+$P60</f>
        <v>15604</v>
      </c>
      <c r="R60" s="6" t="str">
        <f aca="false">$C60&amp;"|"&amp;$E60</f>
        <v>TriNet|Aetna HDHP 6350|FAM</v>
      </c>
    </row>
    <row r="61" customFormat="false" ht="15" hidden="false" customHeight="false" outlineLevel="0" collapsed="false">
      <c r="A61" s="11" t="s">
        <v>35</v>
      </c>
      <c r="B61" s="11" t="s">
        <v>162</v>
      </c>
      <c r="C61" s="11" t="s">
        <v>163</v>
      </c>
      <c r="D61" s="11" t="s">
        <v>12</v>
      </c>
      <c r="E61" s="11" t="s">
        <v>13</v>
      </c>
      <c r="F61" s="33" t="str">
        <f aca="false">INDEX('Plan Design'!$E$5:$E$34,MATCH($C61,'Plan Design'!$C$5:$C$34,0))</f>
        <v>Y</v>
      </c>
      <c r="G61" s="34" t="n">
        <f aca="false">INDEX('Plan Design'!$O$5:$R$34,MATCH($C61,'Plan Design'!$C$5:$C$34,0),MATCH($E61,'Plan Design'!$O$4:$R$4,0))</f>
        <v>494</v>
      </c>
      <c r="H61" s="34" t="n">
        <f aca="false">INDEX(Assumptions!$C$10:$C$13,MATCH($E61,Assumptions!$B$10:$B$13,0))</f>
        <v>300</v>
      </c>
      <c r="I61" s="34" t="n">
        <f aca="false">INDEX(Assumptions!$D$18:$D$20,MATCH($A61,Assumptions!$A$18:$A$20,0))</f>
        <v>269.5</v>
      </c>
      <c r="J61" s="19" t="n">
        <f aca="false">MIN($G61,MAX($H61,$I61))</f>
        <v>300</v>
      </c>
      <c r="K61" s="19" t="n">
        <f aca="false">$G61-$J61</f>
        <v>194</v>
      </c>
      <c r="L61" s="14" t="n">
        <f aca="false">$J61*12</f>
        <v>3600</v>
      </c>
      <c r="M61" s="14" t="n">
        <f aca="false">$K61*12</f>
        <v>2328</v>
      </c>
      <c r="N61" s="35" t="n">
        <f aca="false">IF($G61=0,0,$J61/$G61)</f>
        <v>0.607287449392713</v>
      </c>
      <c r="O61" s="36" t="n">
        <f aca="false">IF($E61="EE",INDEX('Plan Design'!$F$5:$F$34,MATCH($C61,'Plan Design'!$C$5:$C$34,0)),INDEX('Plan Design'!$G$5:$G$34,MATCH($C61,'Plan Design'!$C$5:$C$34,0)))</f>
        <v>4000</v>
      </c>
      <c r="P61" s="36" t="n">
        <f aca="false">IF($E61="EE",INDEX('Plan Design'!$H$5:$H$34,MATCH($C61,'Plan Design'!$C$5:$C$34,0)),INDEX('Plan Design'!$I$5:$I$34,MATCH($C61,'Plan Design'!$C$5:$C$34,0)))</f>
        <v>6850</v>
      </c>
      <c r="Q61" s="37" t="n">
        <f aca="false">$M61+$P61</f>
        <v>9178</v>
      </c>
      <c r="R61" s="6" t="str">
        <f aca="false">$C61&amp;"|"&amp;$E61</f>
        <v>TriNet|Aetna HDHP 4000|EE</v>
      </c>
    </row>
    <row r="62" customFormat="false" ht="15" hidden="false" customHeight="false" outlineLevel="0" collapsed="false">
      <c r="A62" s="38" t="s">
        <v>35</v>
      </c>
      <c r="B62" s="38" t="s">
        <v>162</v>
      </c>
      <c r="C62" s="38" t="s">
        <v>163</v>
      </c>
      <c r="D62" s="38" t="s">
        <v>15</v>
      </c>
      <c r="E62" s="38" t="s">
        <v>16</v>
      </c>
      <c r="F62" s="39" t="str">
        <f aca="false">INDEX('Plan Design'!$E$5:$E$34,MATCH($C62,'Plan Design'!$C$5:$C$34,0))</f>
        <v>Y</v>
      </c>
      <c r="G62" s="40" t="n">
        <f aca="false">INDEX('Plan Design'!$O$5:$R$34,MATCH($C62,'Plan Design'!$C$5:$C$34,0),MATCH($E62,'Plan Design'!$O$4:$R$4,0))</f>
        <v>1140</v>
      </c>
      <c r="H62" s="40" t="n">
        <f aca="false">INDEX(Assumptions!$C$10:$C$13,MATCH($E62,Assumptions!$B$10:$B$13,0))</f>
        <v>600</v>
      </c>
      <c r="I62" s="40" t="n">
        <f aca="false">INDEX(Assumptions!$D$18:$D$20,MATCH($A62,Assumptions!$A$18:$A$20,0))</f>
        <v>269.5</v>
      </c>
      <c r="J62" s="41" t="n">
        <f aca="false">MIN($G62,MAX($H62,$I62))</f>
        <v>600</v>
      </c>
      <c r="K62" s="41" t="n">
        <f aca="false">$G62-$J62</f>
        <v>540</v>
      </c>
      <c r="L62" s="42" t="n">
        <f aca="false">$J62*12</f>
        <v>7200</v>
      </c>
      <c r="M62" s="42" t="n">
        <f aca="false">$K62*12</f>
        <v>6480</v>
      </c>
      <c r="N62" s="43" t="n">
        <f aca="false">IF($G62=0,0,$J62/$G62)</f>
        <v>0.526315789473684</v>
      </c>
      <c r="O62" s="44" t="n">
        <f aca="false">IF($E62="EE",INDEX('Plan Design'!$F$5:$F$34,MATCH($C62,'Plan Design'!$C$5:$C$34,0)),INDEX('Plan Design'!$G$5:$G$34,MATCH($C62,'Plan Design'!$C$5:$C$34,0)))</f>
        <v>8000</v>
      </c>
      <c r="P62" s="44" t="n">
        <f aca="false">IF($E62="EE",INDEX('Plan Design'!$H$5:$H$34,MATCH($C62,'Plan Design'!$C$5:$C$34,0)),INDEX('Plan Design'!$I$5:$I$34,MATCH($C62,'Plan Design'!$C$5:$C$34,0)))</f>
        <v>13700</v>
      </c>
      <c r="Q62" s="45" t="n">
        <f aca="false">$M62+$P62</f>
        <v>20180</v>
      </c>
      <c r="R62" s="6" t="str">
        <f aca="false">$C62&amp;"|"&amp;$E62</f>
        <v>TriNet|Aetna HDHP 4000|ES</v>
      </c>
    </row>
    <row r="63" customFormat="false" ht="15" hidden="false" customHeight="false" outlineLevel="0" collapsed="false">
      <c r="A63" s="11" t="s">
        <v>35</v>
      </c>
      <c r="B63" s="11" t="s">
        <v>162</v>
      </c>
      <c r="C63" s="11" t="s">
        <v>163</v>
      </c>
      <c r="D63" s="11" t="s">
        <v>18</v>
      </c>
      <c r="E63" s="11" t="s">
        <v>19</v>
      </c>
      <c r="F63" s="33" t="str">
        <f aca="false">INDEX('Plan Design'!$E$5:$E$34,MATCH($C63,'Plan Design'!$C$5:$C$34,0))</f>
        <v>Y</v>
      </c>
      <c r="G63" s="34" t="n">
        <f aca="false">INDEX('Plan Design'!$O$5:$R$34,MATCH($C63,'Plan Design'!$C$5:$C$34,0),MATCH($E63,'Plan Design'!$O$4:$R$4,0))</f>
        <v>1007</v>
      </c>
      <c r="H63" s="34" t="n">
        <f aca="false">INDEX(Assumptions!$C$10:$C$13,MATCH($E63,Assumptions!$B$10:$B$13,0))</f>
        <v>600</v>
      </c>
      <c r="I63" s="34" t="n">
        <f aca="false">INDEX(Assumptions!$D$18:$D$20,MATCH($A63,Assumptions!$A$18:$A$20,0))</f>
        <v>269.5</v>
      </c>
      <c r="J63" s="19" t="n">
        <f aca="false">MIN($G63,MAX($H63,$I63))</f>
        <v>600</v>
      </c>
      <c r="K63" s="19" t="n">
        <f aca="false">$G63-$J63</f>
        <v>407</v>
      </c>
      <c r="L63" s="14" t="n">
        <f aca="false">$J63*12</f>
        <v>7200</v>
      </c>
      <c r="M63" s="14" t="n">
        <f aca="false">$K63*12</f>
        <v>4884</v>
      </c>
      <c r="N63" s="35" t="n">
        <f aca="false">IF($G63=0,0,$J63/$G63)</f>
        <v>0.595829195630586</v>
      </c>
      <c r="O63" s="36" t="n">
        <f aca="false">IF($E63="EE",INDEX('Plan Design'!$F$5:$F$34,MATCH($C63,'Plan Design'!$C$5:$C$34,0)),INDEX('Plan Design'!$G$5:$G$34,MATCH($C63,'Plan Design'!$C$5:$C$34,0)))</f>
        <v>8000</v>
      </c>
      <c r="P63" s="36" t="n">
        <f aca="false">IF($E63="EE",INDEX('Plan Design'!$H$5:$H$34,MATCH($C63,'Plan Design'!$C$5:$C$34,0)),INDEX('Plan Design'!$I$5:$I$34,MATCH($C63,'Plan Design'!$C$5:$C$34,0)))</f>
        <v>13700</v>
      </c>
      <c r="Q63" s="37" t="n">
        <f aca="false">$M63+$P63</f>
        <v>18584</v>
      </c>
      <c r="R63" s="6" t="str">
        <f aca="false">$C63&amp;"|"&amp;$E63</f>
        <v>TriNet|Aetna HDHP 4000|EC</v>
      </c>
    </row>
    <row r="64" customFormat="false" ht="15" hidden="false" customHeight="false" outlineLevel="0" collapsed="false">
      <c r="A64" s="38" t="s">
        <v>35</v>
      </c>
      <c r="B64" s="38" t="s">
        <v>162</v>
      </c>
      <c r="C64" s="38" t="s">
        <v>163</v>
      </c>
      <c r="D64" s="38" t="s">
        <v>21</v>
      </c>
      <c r="E64" s="38" t="s">
        <v>22</v>
      </c>
      <c r="F64" s="39" t="str">
        <f aca="false">INDEX('Plan Design'!$E$5:$E$34,MATCH($C64,'Plan Design'!$C$5:$C$34,0))</f>
        <v>Y</v>
      </c>
      <c r="G64" s="40" t="n">
        <f aca="false">INDEX('Plan Design'!$O$5:$R$34,MATCH($C64,'Plan Design'!$C$5:$C$34,0),MATCH($E64,'Plan Design'!$O$4:$R$4,0))</f>
        <v>1495</v>
      </c>
      <c r="H64" s="40" t="n">
        <f aca="false">INDEX(Assumptions!$C$10:$C$13,MATCH($E64,Assumptions!$B$10:$B$13,0))</f>
        <v>1000</v>
      </c>
      <c r="I64" s="40" t="n">
        <f aca="false">INDEX(Assumptions!$D$18:$D$20,MATCH($A64,Assumptions!$A$18:$A$20,0))</f>
        <v>269.5</v>
      </c>
      <c r="J64" s="41" t="n">
        <f aca="false">MIN($G64,MAX($H64,$I64))</f>
        <v>1000</v>
      </c>
      <c r="K64" s="41" t="n">
        <f aca="false">$G64-$J64</f>
        <v>495</v>
      </c>
      <c r="L64" s="42" t="n">
        <f aca="false">$J64*12</f>
        <v>12000</v>
      </c>
      <c r="M64" s="42" t="n">
        <f aca="false">$K64*12</f>
        <v>5940</v>
      </c>
      <c r="N64" s="43" t="n">
        <f aca="false">IF($G64=0,0,$J64/$G64)</f>
        <v>0.668896321070234</v>
      </c>
      <c r="O64" s="44" t="n">
        <f aca="false">IF($E64="EE",INDEX('Plan Design'!$F$5:$F$34,MATCH($C64,'Plan Design'!$C$5:$C$34,0)),INDEX('Plan Design'!$G$5:$G$34,MATCH($C64,'Plan Design'!$C$5:$C$34,0)))</f>
        <v>8000</v>
      </c>
      <c r="P64" s="44" t="n">
        <f aca="false">IF($E64="EE",INDEX('Plan Design'!$H$5:$H$34,MATCH($C64,'Plan Design'!$C$5:$C$34,0)),INDEX('Plan Design'!$I$5:$I$34,MATCH($C64,'Plan Design'!$C$5:$C$34,0)))</f>
        <v>13700</v>
      </c>
      <c r="Q64" s="45" t="n">
        <f aca="false">$M64+$P64</f>
        <v>19640</v>
      </c>
      <c r="R64" s="6" t="str">
        <f aca="false">$C64&amp;"|"&amp;$E64</f>
        <v>TriNet|Aetna HDHP 4000|FAM</v>
      </c>
    </row>
    <row r="65" customFormat="false" ht="15" hidden="false" customHeight="false" outlineLevel="0" collapsed="false">
      <c r="A65" s="11" t="s">
        <v>35</v>
      </c>
      <c r="B65" s="11" t="s">
        <v>164</v>
      </c>
      <c r="C65" s="11" t="s">
        <v>165</v>
      </c>
      <c r="D65" s="11" t="s">
        <v>12</v>
      </c>
      <c r="E65" s="11" t="s">
        <v>13</v>
      </c>
      <c r="F65" s="33" t="str">
        <f aca="false">INDEX('Plan Design'!$E$5:$E$34,MATCH($C65,'Plan Design'!$C$5:$C$34,0))</f>
        <v>N</v>
      </c>
      <c r="G65" s="34" t="n">
        <f aca="false">INDEX('Plan Design'!$O$5:$R$34,MATCH($C65,'Plan Design'!$C$5:$C$34,0),MATCH($E65,'Plan Design'!$O$4:$R$4,0))</f>
        <v>520</v>
      </c>
      <c r="H65" s="34" t="n">
        <f aca="false">INDEX(Assumptions!$C$10:$C$13,MATCH($E65,Assumptions!$B$10:$B$13,0))</f>
        <v>300</v>
      </c>
      <c r="I65" s="34" t="n">
        <f aca="false">INDEX(Assumptions!$D$18:$D$20,MATCH($A65,Assumptions!$A$18:$A$20,0))</f>
        <v>269.5</v>
      </c>
      <c r="J65" s="19" t="n">
        <f aca="false">MIN($G65,MAX($H65,$I65))</f>
        <v>300</v>
      </c>
      <c r="K65" s="19" t="n">
        <f aca="false">$G65-$J65</f>
        <v>220</v>
      </c>
      <c r="L65" s="14" t="n">
        <f aca="false">$J65*12</f>
        <v>3600</v>
      </c>
      <c r="M65" s="14" t="n">
        <f aca="false">$K65*12</f>
        <v>2640</v>
      </c>
      <c r="N65" s="35" t="n">
        <f aca="false">IF($G65=0,0,$J65/$G65)</f>
        <v>0.576923076923077</v>
      </c>
      <c r="O65" s="36" t="n">
        <f aca="false">IF($E65="EE",INDEX('Plan Design'!$F$5:$F$34,MATCH($C65,'Plan Design'!$C$5:$C$34,0)),INDEX('Plan Design'!$G$5:$G$34,MATCH($C65,'Plan Design'!$C$5:$C$34,0)))</f>
        <v>2500</v>
      </c>
      <c r="P65" s="36" t="n">
        <f aca="false">IF($E65="EE",INDEX('Plan Design'!$H$5:$H$34,MATCH($C65,'Plan Design'!$C$5:$C$34,0)),INDEX('Plan Design'!$I$5:$I$34,MATCH($C65,'Plan Design'!$C$5:$C$34,0)))</f>
        <v>7500</v>
      </c>
      <c r="Q65" s="37" t="n">
        <f aca="false">$M65+$P65</f>
        <v>10140</v>
      </c>
      <c r="R65" s="6" t="str">
        <f aca="false">$C65&amp;"|"&amp;$E65</f>
        <v>TriNet|Aetna ACO 2500 AZ|EE</v>
      </c>
    </row>
    <row r="66" customFormat="false" ht="15" hidden="false" customHeight="false" outlineLevel="0" collapsed="false">
      <c r="A66" s="38" t="s">
        <v>35</v>
      </c>
      <c r="B66" s="38" t="s">
        <v>164</v>
      </c>
      <c r="C66" s="38" t="s">
        <v>165</v>
      </c>
      <c r="D66" s="38" t="s">
        <v>15</v>
      </c>
      <c r="E66" s="38" t="s">
        <v>16</v>
      </c>
      <c r="F66" s="39" t="str">
        <f aca="false">INDEX('Plan Design'!$E$5:$E$34,MATCH($C66,'Plan Design'!$C$5:$C$34,0))</f>
        <v>N</v>
      </c>
      <c r="G66" s="40" t="n">
        <f aca="false">INDEX('Plan Design'!$O$5:$R$34,MATCH($C66,'Plan Design'!$C$5:$C$34,0),MATCH($E66,'Plan Design'!$O$4:$R$4,0))</f>
        <v>1202</v>
      </c>
      <c r="H66" s="40" t="n">
        <f aca="false">INDEX(Assumptions!$C$10:$C$13,MATCH($E66,Assumptions!$B$10:$B$13,0))</f>
        <v>600</v>
      </c>
      <c r="I66" s="40" t="n">
        <f aca="false">INDEX(Assumptions!$D$18:$D$20,MATCH($A66,Assumptions!$A$18:$A$20,0))</f>
        <v>269.5</v>
      </c>
      <c r="J66" s="41" t="n">
        <f aca="false">MIN($G66,MAX($H66,$I66))</f>
        <v>600</v>
      </c>
      <c r="K66" s="41" t="n">
        <f aca="false">$G66-$J66</f>
        <v>602</v>
      </c>
      <c r="L66" s="42" t="n">
        <f aca="false">$J66*12</f>
        <v>7200</v>
      </c>
      <c r="M66" s="42" t="n">
        <f aca="false">$K66*12</f>
        <v>7224</v>
      </c>
      <c r="N66" s="43" t="n">
        <f aca="false">IF($G66=0,0,$J66/$G66)</f>
        <v>0.499168053244592</v>
      </c>
      <c r="O66" s="44" t="n">
        <f aca="false">IF($E66="EE",INDEX('Plan Design'!$F$5:$F$34,MATCH($C66,'Plan Design'!$C$5:$C$34,0)),INDEX('Plan Design'!$G$5:$G$34,MATCH($C66,'Plan Design'!$C$5:$C$34,0)))</f>
        <v>5000</v>
      </c>
      <c r="P66" s="44" t="n">
        <f aca="false">IF($E66="EE",INDEX('Plan Design'!$H$5:$H$34,MATCH($C66,'Plan Design'!$C$5:$C$34,0)),INDEX('Plan Design'!$I$5:$I$34,MATCH($C66,'Plan Design'!$C$5:$C$34,0)))</f>
        <v>15000</v>
      </c>
      <c r="Q66" s="45" t="n">
        <f aca="false">$M66+$P66</f>
        <v>22224</v>
      </c>
      <c r="R66" s="6" t="str">
        <f aca="false">$C66&amp;"|"&amp;$E66</f>
        <v>TriNet|Aetna ACO 2500 AZ|ES</v>
      </c>
    </row>
    <row r="67" customFormat="false" ht="15" hidden="false" customHeight="false" outlineLevel="0" collapsed="false">
      <c r="A67" s="11" t="s">
        <v>35</v>
      </c>
      <c r="B67" s="11" t="s">
        <v>164</v>
      </c>
      <c r="C67" s="11" t="s">
        <v>165</v>
      </c>
      <c r="D67" s="11" t="s">
        <v>18</v>
      </c>
      <c r="E67" s="11" t="s">
        <v>19</v>
      </c>
      <c r="F67" s="33" t="str">
        <f aca="false">INDEX('Plan Design'!$E$5:$E$34,MATCH($C67,'Plan Design'!$C$5:$C$34,0))</f>
        <v>N</v>
      </c>
      <c r="G67" s="34" t="n">
        <f aca="false">INDEX('Plan Design'!$O$5:$R$34,MATCH($C67,'Plan Design'!$C$5:$C$34,0),MATCH($E67,'Plan Design'!$O$4:$R$4,0))</f>
        <v>1061</v>
      </c>
      <c r="H67" s="34" t="n">
        <f aca="false">INDEX(Assumptions!$C$10:$C$13,MATCH($E67,Assumptions!$B$10:$B$13,0))</f>
        <v>600</v>
      </c>
      <c r="I67" s="34" t="n">
        <f aca="false">INDEX(Assumptions!$D$18:$D$20,MATCH($A67,Assumptions!$A$18:$A$20,0))</f>
        <v>269.5</v>
      </c>
      <c r="J67" s="19" t="n">
        <f aca="false">MIN($G67,MAX($H67,$I67))</f>
        <v>600</v>
      </c>
      <c r="K67" s="19" t="n">
        <f aca="false">$G67-$J67</f>
        <v>461</v>
      </c>
      <c r="L67" s="14" t="n">
        <f aca="false">$J67*12</f>
        <v>7200</v>
      </c>
      <c r="M67" s="14" t="n">
        <f aca="false">$K67*12</f>
        <v>5532</v>
      </c>
      <c r="N67" s="35" t="n">
        <f aca="false">IF($G67=0,0,$J67/$G67)</f>
        <v>0.56550424128181</v>
      </c>
      <c r="O67" s="36" t="n">
        <f aca="false">IF($E67="EE",INDEX('Plan Design'!$F$5:$F$34,MATCH($C67,'Plan Design'!$C$5:$C$34,0)),INDEX('Plan Design'!$G$5:$G$34,MATCH($C67,'Plan Design'!$C$5:$C$34,0)))</f>
        <v>5000</v>
      </c>
      <c r="P67" s="36" t="n">
        <f aca="false">IF($E67="EE",INDEX('Plan Design'!$H$5:$H$34,MATCH($C67,'Plan Design'!$C$5:$C$34,0)),INDEX('Plan Design'!$I$5:$I$34,MATCH($C67,'Plan Design'!$C$5:$C$34,0)))</f>
        <v>15000</v>
      </c>
      <c r="Q67" s="37" t="n">
        <f aca="false">$M67+$P67</f>
        <v>20532</v>
      </c>
      <c r="R67" s="6" t="str">
        <f aca="false">$C67&amp;"|"&amp;$E67</f>
        <v>TriNet|Aetna ACO 2500 AZ|EC</v>
      </c>
    </row>
    <row r="68" customFormat="false" ht="15" hidden="false" customHeight="false" outlineLevel="0" collapsed="false">
      <c r="A68" s="38" t="s">
        <v>35</v>
      </c>
      <c r="B68" s="38" t="s">
        <v>164</v>
      </c>
      <c r="C68" s="38" t="s">
        <v>165</v>
      </c>
      <c r="D68" s="38" t="s">
        <v>21</v>
      </c>
      <c r="E68" s="38" t="s">
        <v>22</v>
      </c>
      <c r="F68" s="39" t="str">
        <f aca="false">INDEX('Plan Design'!$E$5:$E$34,MATCH($C68,'Plan Design'!$C$5:$C$34,0))</f>
        <v>N</v>
      </c>
      <c r="G68" s="40" t="n">
        <f aca="false">INDEX('Plan Design'!$O$5:$R$34,MATCH($C68,'Plan Design'!$C$5:$C$34,0),MATCH($E68,'Plan Design'!$O$4:$R$4,0))</f>
        <v>1576</v>
      </c>
      <c r="H68" s="40" t="n">
        <f aca="false">INDEX(Assumptions!$C$10:$C$13,MATCH($E68,Assumptions!$B$10:$B$13,0))</f>
        <v>1000</v>
      </c>
      <c r="I68" s="40" t="n">
        <f aca="false">INDEX(Assumptions!$D$18:$D$20,MATCH($A68,Assumptions!$A$18:$A$20,0))</f>
        <v>269.5</v>
      </c>
      <c r="J68" s="41" t="n">
        <f aca="false">MIN($G68,MAX($H68,$I68))</f>
        <v>1000</v>
      </c>
      <c r="K68" s="41" t="n">
        <f aca="false">$G68-$J68</f>
        <v>576</v>
      </c>
      <c r="L68" s="42" t="n">
        <f aca="false">$J68*12</f>
        <v>12000</v>
      </c>
      <c r="M68" s="42" t="n">
        <f aca="false">$K68*12</f>
        <v>6912</v>
      </c>
      <c r="N68" s="43" t="n">
        <f aca="false">IF($G68=0,0,$J68/$G68)</f>
        <v>0.634517766497462</v>
      </c>
      <c r="O68" s="44" t="n">
        <f aca="false">IF($E68="EE",INDEX('Plan Design'!$F$5:$F$34,MATCH($C68,'Plan Design'!$C$5:$C$34,0)),INDEX('Plan Design'!$G$5:$G$34,MATCH($C68,'Plan Design'!$C$5:$C$34,0)))</f>
        <v>5000</v>
      </c>
      <c r="P68" s="44" t="n">
        <f aca="false">IF($E68="EE",INDEX('Plan Design'!$H$5:$H$34,MATCH($C68,'Plan Design'!$C$5:$C$34,0)),INDEX('Plan Design'!$I$5:$I$34,MATCH($C68,'Plan Design'!$C$5:$C$34,0)))</f>
        <v>15000</v>
      </c>
      <c r="Q68" s="45" t="n">
        <f aca="false">$M68+$P68</f>
        <v>21912</v>
      </c>
      <c r="R68" s="6" t="str">
        <f aca="false">$C68&amp;"|"&amp;$E68</f>
        <v>TriNet|Aetna ACO 2500 AZ|FAM</v>
      </c>
    </row>
    <row r="69" customFormat="false" ht="15" hidden="false" customHeight="false" outlineLevel="0" collapsed="false">
      <c r="A69" s="11" t="s">
        <v>35</v>
      </c>
      <c r="B69" s="11" t="s">
        <v>166</v>
      </c>
      <c r="C69" s="11" t="s">
        <v>167</v>
      </c>
      <c r="D69" s="11" t="s">
        <v>12</v>
      </c>
      <c r="E69" s="11" t="s">
        <v>13</v>
      </c>
      <c r="F69" s="33" t="str">
        <f aca="false">INDEX('Plan Design'!$E$5:$E$34,MATCH($C69,'Plan Design'!$C$5:$C$34,0))</f>
        <v>N</v>
      </c>
      <c r="G69" s="34" t="n">
        <f aca="false">INDEX('Plan Design'!$O$5:$R$34,MATCH($C69,'Plan Design'!$C$5:$C$34,0),MATCH($E69,'Plan Design'!$O$4:$R$4,0))</f>
        <v>530</v>
      </c>
      <c r="H69" s="34" t="n">
        <f aca="false">INDEX(Assumptions!$C$10:$C$13,MATCH($E69,Assumptions!$B$10:$B$13,0))</f>
        <v>300</v>
      </c>
      <c r="I69" s="34" t="n">
        <f aca="false">INDEX(Assumptions!$D$18:$D$20,MATCH($A69,Assumptions!$A$18:$A$20,0))</f>
        <v>269.5</v>
      </c>
      <c r="J69" s="19" t="n">
        <f aca="false">MIN($G69,MAX($H69,$I69))</f>
        <v>300</v>
      </c>
      <c r="K69" s="19" t="n">
        <f aca="false">$G69-$J69</f>
        <v>230</v>
      </c>
      <c r="L69" s="14" t="n">
        <f aca="false">$J69*12</f>
        <v>3600</v>
      </c>
      <c r="M69" s="14" t="n">
        <f aca="false">$K69*12</f>
        <v>2760</v>
      </c>
      <c r="N69" s="35" t="n">
        <f aca="false">IF($G69=0,0,$J69/$G69)</f>
        <v>0.566037735849057</v>
      </c>
      <c r="O69" s="36" t="n">
        <f aca="false">IF($E69="EE",INDEX('Plan Design'!$F$5:$F$34,MATCH($C69,'Plan Design'!$C$5:$C$34,0)),INDEX('Plan Design'!$G$5:$G$34,MATCH($C69,'Plan Design'!$C$5:$C$34,0)))</f>
        <v>5000</v>
      </c>
      <c r="P69" s="36" t="n">
        <f aca="false">IF($E69="EE",INDEX('Plan Design'!$H$5:$H$34,MATCH($C69,'Plan Design'!$C$5:$C$34,0)),INDEX('Plan Design'!$I$5:$I$34,MATCH($C69,'Plan Design'!$C$5:$C$34,0)))</f>
        <v>7600</v>
      </c>
      <c r="Q69" s="37" t="n">
        <f aca="false">$M69+$P69</f>
        <v>10360</v>
      </c>
      <c r="R69" s="6" t="str">
        <f aca="false">$C69&amp;"|"&amp;$E69</f>
        <v>TriNet|Aetna PPO 5000|EE</v>
      </c>
    </row>
    <row r="70" customFormat="false" ht="15" hidden="false" customHeight="false" outlineLevel="0" collapsed="false">
      <c r="A70" s="38" t="s">
        <v>35</v>
      </c>
      <c r="B70" s="38" t="s">
        <v>166</v>
      </c>
      <c r="C70" s="38" t="s">
        <v>167</v>
      </c>
      <c r="D70" s="38" t="s">
        <v>15</v>
      </c>
      <c r="E70" s="38" t="s">
        <v>16</v>
      </c>
      <c r="F70" s="39" t="str">
        <f aca="false">INDEX('Plan Design'!$E$5:$E$34,MATCH($C70,'Plan Design'!$C$5:$C$34,0))</f>
        <v>N</v>
      </c>
      <c r="G70" s="40" t="n">
        <f aca="false">INDEX('Plan Design'!$O$5:$R$34,MATCH($C70,'Plan Design'!$C$5:$C$34,0),MATCH($E70,'Plan Design'!$O$4:$R$4,0))</f>
        <v>1223</v>
      </c>
      <c r="H70" s="40" t="n">
        <f aca="false">INDEX(Assumptions!$C$10:$C$13,MATCH($E70,Assumptions!$B$10:$B$13,0))</f>
        <v>600</v>
      </c>
      <c r="I70" s="40" t="n">
        <f aca="false">INDEX(Assumptions!$D$18:$D$20,MATCH($A70,Assumptions!$A$18:$A$20,0))</f>
        <v>269.5</v>
      </c>
      <c r="J70" s="41" t="n">
        <f aca="false">MIN($G70,MAX($H70,$I70))</f>
        <v>600</v>
      </c>
      <c r="K70" s="41" t="n">
        <f aca="false">$G70-$J70</f>
        <v>623</v>
      </c>
      <c r="L70" s="42" t="n">
        <f aca="false">$J70*12</f>
        <v>7200</v>
      </c>
      <c r="M70" s="42" t="n">
        <f aca="false">$K70*12</f>
        <v>7476</v>
      </c>
      <c r="N70" s="43" t="n">
        <f aca="false">IF($G70=0,0,$J70/$G70)</f>
        <v>0.490596892886345</v>
      </c>
      <c r="O70" s="44" t="n">
        <f aca="false">IF($E70="EE",INDEX('Plan Design'!$F$5:$F$34,MATCH($C70,'Plan Design'!$C$5:$C$34,0)),INDEX('Plan Design'!$G$5:$G$34,MATCH($C70,'Plan Design'!$C$5:$C$34,0)))</f>
        <v>10000</v>
      </c>
      <c r="P70" s="44" t="n">
        <f aca="false">IF($E70="EE",INDEX('Plan Design'!$H$5:$H$34,MATCH($C70,'Plan Design'!$C$5:$C$34,0)),INDEX('Plan Design'!$I$5:$I$34,MATCH($C70,'Plan Design'!$C$5:$C$34,0)))</f>
        <v>15200</v>
      </c>
      <c r="Q70" s="45" t="n">
        <f aca="false">$M70+$P70</f>
        <v>22676</v>
      </c>
      <c r="R70" s="6" t="str">
        <f aca="false">$C70&amp;"|"&amp;$E70</f>
        <v>TriNet|Aetna PPO 5000|ES</v>
      </c>
    </row>
    <row r="71" customFormat="false" ht="15" hidden="false" customHeight="false" outlineLevel="0" collapsed="false">
      <c r="A71" s="11" t="s">
        <v>35</v>
      </c>
      <c r="B71" s="11" t="s">
        <v>166</v>
      </c>
      <c r="C71" s="11" t="s">
        <v>167</v>
      </c>
      <c r="D71" s="11" t="s">
        <v>18</v>
      </c>
      <c r="E71" s="11" t="s">
        <v>19</v>
      </c>
      <c r="F71" s="33" t="str">
        <f aca="false">INDEX('Plan Design'!$E$5:$E$34,MATCH($C71,'Plan Design'!$C$5:$C$34,0))</f>
        <v>N</v>
      </c>
      <c r="G71" s="34" t="n">
        <f aca="false">INDEX('Plan Design'!$O$5:$R$34,MATCH($C71,'Plan Design'!$C$5:$C$34,0),MATCH($E71,'Plan Design'!$O$4:$R$4,0))</f>
        <v>1080</v>
      </c>
      <c r="H71" s="34" t="n">
        <f aca="false">INDEX(Assumptions!$C$10:$C$13,MATCH($E71,Assumptions!$B$10:$B$13,0))</f>
        <v>600</v>
      </c>
      <c r="I71" s="34" t="n">
        <f aca="false">INDEX(Assumptions!$D$18:$D$20,MATCH($A71,Assumptions!$A$18:$A$20,0))</f>
        <v>269.5</v>
      </c>
      <c r="J71" s="19" t="n">
        <f aca="false">MIN($G71,MAX($H71,$I71))</f>
        <v>600</v>
      </c>
      <c r="K71" s="19" t="n">
        <f aca="false">$G71-$J71</f>
        <v>480</v>
      </c>
      <c r="L71" s="14" t="n">
        <f aca="false">$J71*12</f>
        <v>7200</v>
      </c>
      <c r="M71" s="14" t="n">
        <f aca="false">$K71*12</f>
        <v>5760</v>
      </c>
      <c r="N71" s="35" t="n">
        <f aca="false">IF($G71=0,0,$J71/$G71)</f>
        <v>0.555555555555556</v>
      </c>
      <c r="O71" s="36" t="n">
        <f aca="false">IF($E71="EE",INDEX('Plan Design'!$F$5:$F$34,MATCH($C71,'Plan Design'!$C$5:$C$34,0)),INDEX('Plan Design'!$G$5:$G$34,MATCH($C71,'Plan Design'!$C$5:$C$34,0)))</f>
        <v>10000</v>
      </c>
      <c r="P71" s="36" t="n">
        <f aca="false">IF($E71="EE",INDEX('Plan Design'!$H$5:$H$34,MATCH($C71,'Plan Design'!$C$5:$C$34,0)),INDEX('Plan Design'!$I$5:$I$34,MATCH($C71,'Plan Design'!$C$5:$C$34,0)))</f>
        <v>15200</v>
      </c>
      <c r="Q71" s="37" t="n">
        <f aca="false">$M71+$P71</f>
        <v>20960</v>
      </c>
      <c r="R71" s="6" t="str">
        <f aca="false">$C71&amp;"|"&amp;$E71</f>
        <v>TriNet|Aetna PPO 5000|EC</v>
      </c>
    </row>
    <row r="72" customFormat="false" ht="15" hidden="false" customHeight="false" outlineLevel="0" collapsed="false">
      <c r="A72" s="38" t="s">
        <v>35</v>
      </c>
      <c r="B72" s="38" t="s">
        <v>166</v>
      </c>
      <c r="C72" s="38" t="s">
        <v>167</v>
      </c>
      <c r="D72" s="38" t="s">
        <v>21</v>
      </c>
      <c r="E72" s="38" t="s">
        <v>22</v>
      </c>
      <c r="F72" s="39" t="str">
        <f aca="false">INDEX('Plan Design'!$E$5:$E$34,MATCH($C72,'Plan Design'!$C$5:$C$34,0))</f>
        <v>N</v>
      </c>
      <c r="G72" s="40" t="n">
        <f aca="false">INDEX('Plan Design'!$O$5:$R$34,MATCH($C72,'Plan Design'!$C$5:$C$34,0),MATCH($E72,'Plan Design'!$O$4:$R$4,0))</f>
        <v>1603</v>
      </c>
      <c r="H72" s="40" t="n">
        <f aca="false">INDEX(Assumptions!$C$10:$C$13,MATCH($E72,Assumptions!$B$10:$B$13,0))</f>
        <v>1000</v>
      </c>
      <c r="I72" s="40" t="n">
        <f aca="false">INDEX(Assumptions!$D$18:$D$20,MATCH($A72,Assumptions!$A$18:$A$20,0))</f>
        <v>269.5</v>
      </c>
      <c r="J72" s="41" t="n">
        <f aca="false">MIN($G72,MAX($H72,$I72))</f>
        <v>1000</v>
      </c>
      <c r="K72" s="41" t="n">
        <f aca="false">$G72-$J72</f>
        <v>603</v>
      </c>
      <c r="L72" s="42" t="n">
        <f aca="false">$J72*12</f>
        <v>12000</v>
      </c>
      <c r="M72" s="42" t="n">
        <f aca="false">$K72*12</f>
        <v>7236</v>
      </c>
      <c r="N72" s="43" t="n">
        <f aca="false">IF($G72=0,0,$J72/$G72)</f>
        <v>0.623830318153462</v>
      </c>
      <c r="O72" s="44" t="n">
        <f aca="false">IF($E72="EE",INDEX('Plan Design'!$F$5:$F$34,MATCH($C72,'Plan Design'!$C$5:$C$34,0)),INDEX('Plan Design'!$G$5:$G$34,MATCH($C72,'Plan Design'!$C$5:$C$34,0)))</f>
        <v>10000</v>
      </c>
      <c r="P72" s="44" t="n">
        <f aca="false">IF($E72="EE",INDEX('Plan Design'!$H$5:$H$34,MATCH($C72,'Plan Design'!$C$5:$C$34,0)),INDEX('Plan Design'!$I$5:$I$34,MATCH($C72,'Plan Design'!$C$5:$C$34,0)))</f>
        <v>15200</v>
      </c>
      <c r="Q72" s="45" t="n">
        <f aca="false">$M72+$P72</f>
        <v>22436</v>
      </c>
      <c r="R72" s="6" t="str">
        <f aca="false">$C72&amp;"|"&amp;$E72</f>
        <v>TriNet|Aetna PPO 5000|FAM</v>
      </c>
    </row>
    <row r="73" customFormat="false" ht="15" hidden="false" customHeight="false" outlineLevel="0" collapsed="false">
      <c r="A73" s="11" t="s">
        <v>35</v>
      </c>
      <c r="B73" s="11" t="s">
        <v>170</v>
      </c>
      <c r="C73" s="11" t="s">
        <v>171</v>
      </c>
      <c r="D73" s="11" t="s">
        <v>12</v>
      </c>
      <c r="E73" s="11" t="s">
        <v>13</v>
      </c>
      <c r="F73" s="33" t="str">
        <f aca="false">INDEX('Plan Design'!$E$5:$E$34,MATCH($C73,'Plan Design'!$C$5:$C$34,0))</f>
        <v>N</v>
      </c>
      <c r="G73" s="34" t="n">
        <f aca="false">INDEX('Plan Design'!$O$5:$R$34,MATCH($C73,'Plan Design'!$C$5:$C$34,0),MATCH($E73,'Plan Design'!$O$4:$R$4,0))</f>
        <v>581</v>
      </c>
      <c r="H73" s="34" t="n">
        <f aca="false">INDEX(Assumptions!$C$10:$C$13,MATCH($E73,Assumptions!$B$10:$B$13,0))</f>
        <v>300</v>
      </c>
      <c r="I73" s="34" t="n">
        <f aca="false">INDEX(Assumptions!$D$18:$D$20,MATCH($A73,Assumptions!$A$18:$A$20,0))</f>
        <v>269.5</v>
      </c>
      <c r="J73" s="19" t="n">
        <f aca="false">MIN($G73,MAX($H73,$I73))</f>
        <v>300</v>
      </c>
      <c r="K73" s="19" t="n">
        <f aca="false">$G73-$J73</f>
        <v>281</v>
      </c>
      <c r="L73" s="14" t="n">
        <f aca="false">$J73*12</f>
        <v>3600</v>
      </c>
      <c r="M73" s="14" t="n">
        <f aca="false">$K73*12</f>
        <v>3372</v>
      </c>
      <c r="N73" s="35" t="n">
        <f aca="false">IF($G73=0,0,$J73/$G73)</f>
        <v>0.516351118760757</v>
      </c>
      <c r="O73" s="36" t="n">
        <f aca="false">IF($E73="EE",INDEX('Plan Design'!$F$5:$F$34,MATCH($C73,'Plan Design'!$C$5:$C$34,0)),INDEX('Plan Design'!$G$5:$G$34,MATCH($C73,'Plan Design'!$C$5:$C$34,0)))</f>
        <v>2000</v>
      </c>
      <c r="P73" s="36" t="n">
        <f aca="false">IF($E73="EE",INDEX('Plan Design'!$H$5:$H$34,MATCH($C73,'Plan Design'!$C$5:$C$34,0)),INDEX('Plan Design'!$I$5:$I$34,MATCH($C73,'Plan Design'!$C$5:$C$34,0)))</f>
        <v>6500</v>
      </c>
      <c r="Q73" s="37" t="n">
        <f aca="false">$M73+$P73</f>
        <v>9872</v>
      </c>
      <c r="R73" s="6" t="str">
        <f aca="false">$C73&amp;"|"&amp;$E73</f>
        <v>TriNet|Aetna EPO 2000|EE</v>
      </c>
    </row>
    <row r="74" customFormat="false" ht="15" hidden="false" customHeight="false" outlineLevel="0" collapsed="false">
      <c r="A74" s="38" t="s">
        <v>35</v>
      </c>
      <c r="B74" s="38" t="s">
        <v>170</v>
      </c>
      <c r="C74" s="38" t="s">
        <v>171</v>
      </c>
      <c r="D74" s="38" t="s">
        <v>15</v>
      </c>
      <c r="E74" s="38" t="s">
        <v>16</v>
      </c>
      <c r="F74" s="39" t="str">
        <f aca="false">INDEX('Plan Design'!$E$5:$E$34,MATCH($C74,'Plan Design'!$C$5:$C$34,0))</f>
        <v>N</v>
      </c>
      <c r="G74" s="40" t="n">
        <f aca="false">INDEX('Plan Design'!$O$5:$R$34,MATCH($C74,'Plan Design'!$C$5:$C$34,0),MATCH($E74,'Plan Design'!$O$4:$R$4,0))</f>
        <v>1342</v>
      </c>
      <c r="H74" s="40" t="n">
        <f aca="false">INDEX(Assumptions!$C$10:$C$13,MATCH($E74,Assumptions!$B$10:$B$13,0))</f>
        <v>600</v>
      </c>
      <c r="I74" s="40" t="n">
        <f aca="false">INDEX(Assumptions!$D$18:$D$20,MATCH($A74,Assumptions!$A$18:$A$20,0))</f>
        <v>269.5</v>
      </c>
      <c r="J74" s="41" t="n">
        <f aca="false">MIN($G74,MAX($H74,$I74))</f>
        <v>600</v>
      </c>
      <c r="K74" s="41" t="n">
        <f aca="false">$G74-$J74</f>
        <v>742</v>
      </c>
      <c r="L74" s="42" t="n">
        <f aca="false">$J74*12</f>
        <v>7200</v>
      </c>
      <c r="M74" s="42" t="n">
        <f aca="false">$K74*12</f>
        <v>8904</v>
      </c>
      <c r="N74" s="43" t="n">
        <f aca="false">IF($G74=0,0,$J74/$G74)</f>
        <v>0.447093889716841</v>
      </c>
      <c r="O74" s="44" t="n">
        <f aca="false">IF($E74="EE",INDEX('Plan Design'!$F$5:$F$34,MATCH($C74,'Plan Design'!$C$5:$C$34,0)),INDEX('Plan Design'!$G$5:$G$34,MATCH($C74,'Plan Design'!$C$5:$C$34,0)))</f>
        <v>4000</v>
      </c>
      <c r="P74" s="44" t="n">
        <f aca="false">IF($E74="EE",INDEX('Plan Design'!$H$5:$H$34,MATCH($C74,'Plan Design'!$C$5:$C$34,0)),INDEX('Plan Design'!$I$5:$I$34,MATCH($C74,'Plan Design'!$C$5:$C$34,0)))</f>
        <v>13000</v>
      </c>
      <c r="Q74" s="45" t="n">
        <f aca="false">$M74+$P74</f>
        <v>21904</v>
      </c>
      <c r="R74" s="6" t="str">
        <f aca="false">$C74&amp;"|"&amp;$E74</f>
        <v>TriNet|Aetna EPO 2000|ES</v>
      </c>
    </row>
    <row r="75" customFormat="false" ht="15" hidden="false" customHeight="false" outlineLevel="0" collapsed="false">
      <c r="A75" s="11" t="s">
        <v>35</v>
      </c>
      <c r="B75" s="11" t="s">
        <v>170</v>
      </c>
      <c r="C75" s="11" t="s">
        <v>171</v>
      </c>
      <c r="D75" s="11" t="s">
        <v>18</v>
      </c>
      <c r="E75" s="11" t="s">
        <v>19</v>
      </c>
      <c r="F75" s="33" t="str">
        <f aca="false">INDEX('Plan Design'!$E$5:$E$34,MATCH($C75,'Plan Design'!$C$5:$C$34,0))</f>
        <v>N</v>
      </c>
      <c r="G75" s="34" t="n">
        <f aca="false">INDEX('Plan Design'!$O$5:$R$34,MATCH($C75,'Plan Design'!$C$5:$C$34,0),MATCH($E75,'Plan Design'!$O$4:$R$4,0))</f>
        <v>1185</v>
      </c>
      <c r="H75" s="34" t="n">
        <f aca="false">INDEX(Assumptions!$C$10:$C$13,MATCH($E75,Assumptions!$B$10:$B$13,0))</f>
        <v>600</v>
      </c>
      <c r="I75" s="34" t="n">
        <f aca="false">INDEX(Assumptions!$D$18:$D$20,MATCH($A75,Assumptions!$A$18:$A$20,0))</f>
        <v>269.5</v>
      </c>
      <c r="J75" s="19" t="n">
        <f aca="false">MIN($G75,MAX($H75,$I75))</f>
        <v>600</v>
      </c>
      <c r="K75" s="19" t="n">
        <f aca="false">$G75-$J75</f>
        <v>585</v>
      </c>
      <c r="L75" s="14" t="n">
        <f aca="false">$J75*12</f>
        <v>7200</v>
      </c>
      <c r="M75" s="14" t="n">
        <f aca="false">$K75*12</f>
        <v>7020</v>
      </c>
      <c r="N75" s="35" t="n">
        <f aca="false">IF($G75=0,0,$J75/$G75)</f>
        <v>0.506329113924051</v>
      </c>
      <c r="O75" s="36" t="n">
        <f aca="false">IF($E75="EE",INDEX('Plan Design'!$F$5:$F$34,MATCH($C75,'Plan Design'!$C$5:$C$34,0)),INDEX('Plan Design'!$G$5:$G$34,MATCH($C75,'Plan Design'!$C$5:$C$34,0)))</f>
        <v>4000</v>
      </c>
      <c r="P75" s="36" t="n">
        <f aca="false">IF($E75="EE",INDEX('Plan Design'!$H$5:$H$34,MATCH($C75,'Plan Design'!$C$5:$C$34,0)),INDEX('Plan Design'!$I$5:$I$34,MATCH($C75,'Plan Design'!$C$5:$C$34,0)))</f>
        <v>13000</v>
      </c>
      <c r="Q75" s="37" t="n">
        <f aca="false">$M75+$P75</f>
        <v>20020</v>
      </c>
      <c r="R75" s="6" t="str">
        <f aca="false">$C75&amp;"|"&amp;$E75</f>
        <v>TriNet|Aetna EPO 2000|EC</v>
      </c>
    </row>
    <row r="76" customFormat="false" ht="15" hidden="false" customHeight="false" outlineLevel="0" collapsed="false">
      <c r="A76" s="38" t="s">
        <v>35</v>
      </c>
      <c r="B76" s="38" t="s">
        <v>170</v>
      </c>
      <c r="C76" s="38" t="s">
        <v>171</v>
      </c>
      <c r="D76" s="38" t="s">
        <v>21</v>
      </c>
      <c r="E76" s="38" t="s">
        <v>22</v>
      </c>
      <c r="F76" s="39" t="str">
        <f aca="false">INDEX('Plan Design'!$E$5:$E$34,MATCH($C76,'Plan Design'!$C$5:$C$34,0))</f>
        <v>N</v>
      </c>
      <c r="G76" s="40" t="n">
        <f aca="false">INDEX('Plan Design'!$O$5:$R$34,MATCH($C76,'Plan Design'!$C$5:$C$34,0),MATCH($E76,'Plan Design'!$O$4:$R$4,0))</f>
        <v>1760</v>
      </c>
      <c r="H76" s="40" t="n">
        <f aca="false">INDEX(Assumptions!$C$10:$C$13,MATCH($E76,Assumptions!$B$10:$B$13,0))</f>
        <v>1000</v>
      </c>
      <c r="I76" s="40" t="n">
        <f aca="false">INDEX(Assumptions!$D$18:$D$20,MATCH($A76,Assumptions!$A$18:$A$20,0))</f>
        <v>269.5</v>
      </c>
      <c r="J76" s="41" t="n">
        <f aca="false">MIN($G76,MAX($H76,$I76))</f>
        <v>1000</v>
      </c>
      <c r="K76" s="41" t="n">
        <f aca="false">$G76-$J76</f>
        <v>760</v>
      </c>
      <c r="L76" s="42" t="n">
        <f aca="false">$J76*12</f>
        <v>12000</v>
      </c>
      <c r="M76" s="42" t="n">
        <f aca="false">$K76*12</f>
        <v>9120</v>
      </c>
      <c r="N76" s="43" t="n">
        <f aca="false">IF($G76=0,0,$J76/$G76)</f>
        <v>0.568181818181818</v>
      </c>
      <c r="O76" s="44" t="n">
        <f aca="false">IF($E76="EE",INDEX('Plan Design'!$F$5:$F$34,MATCH($C76,'Plan Design'!$C$5:$C$34,0)),INDEX('Plan Design'!$G$5:$G$34,MATCH($C76,'Plan Design'!$C$5:$C$34,0)))</f>
        <v>4000</v>
      </c>
      <c r="P76" s="44" t="n">
        <f aca="false">IF($E76="EE",INDEX('Plan Design'!$H$5:$H$34,MATCH($C76,'Plan Design'!$C$5:$C$34,0)),INDEX('Plan Design'!$I$5:$I$34,MATCH($C76,'Plan Design'!$C$5:$C$34,0)))</f>
        <v>13000</v>
      </c>
      <c r="Q76" s="45" t="n">
        <f aca="false">$M76+$P76</f>
        <v>22120</v>
      </c>
      <c r="R76" s="6" t="str">
        <f aca="false">$C76&amp;"|"&amp;$E76</f>
        <v>TriNet|Aetna EPO 2000|FAM</v>
      </c>
    </row>
    <row r="77" customFormat="false" ht="15" hidden="false" customHeight="false" outlineLevel="0" collapsed="false">
      <c r="A77" s="11" t="s">
        <v>35</v>
      </c>
      <c r="B77" s="11" t="s">
        <v>175</v>
      </c>
      <c r="C77" s="11" t="s">
        <v>176</v>
      </c>
      <c r="D77" s="11" t="s">
        <v>12</v>
      </c>
      <c r="E77" s="11" t="s">
        <v>13</v>
      </c>
      <c r="F77" s="33" t="str">
        <f aca="false">INDEX('Plan Design'!$E$5:$E$34,MATCH($C77,'Plan Design'!$C$5:$C$34,0))</f>
        <v>N</v>
      </c>
      <c r="G77" s="34" t="n">
        <f aca="false">INDEX('Plan Design'!$O$5:$R$34,MATCH($C77,'Plan Design'!$C$5:$C$34,0),MATCH($E77,'Plan Design'!$O$4:$R$4,0))</f>
        <v>599</v>
      </c>
      <c r="H77" s="34" t="n">
        <f aca="false">INDEX(Assumptions!$C$10:$C$13,MATCH($E77,Assumptions!$B$10:$B$13,0))</f>
        <v>300</v>
      </c>
      <c r="I77" s="34" t="n">
        <f aca="false">INDEX(Assumptions!$D$18:$D$20,MATCH($A77,Assumptions!$A$18:$A$20,0))</f>
        <v>269.5</v>
      </c>
      <c r="J77" s="19" t="n">
        <f aca="false">MIN($G77,MAX($H77,$I77))</f>
        <v>300</v>
      </c>
      <c r="K77" s="19" t="n">
        <f aca="false">$G77-$J77</f>
        <v>299</v>
      </c>
      <c r="L77" s="14" t="n">
        <f aca="false">$J77*12</f>
        <v>3600</v>
      </c>
      <c r="M77" s="14" t="n">
        <f aca="false">$K77*12</f>
        <v>3588</v>
      </c>
      <c r="N77" s="35" t="n">
        <f aca="false">IF($G77=0,0,$J77/$G77)</f>
        <v>0.500834724540902</v>
      </c>
      <c r="O77" s="36" t="n">
        <f aca="false">IF($E77="EE",INDEX('Plan Design'!$F$5:$F$34,MATCH($C77,'Plan Design'!$C$5:$C$34,0)),INDEX('Plan Design'!$G$5:$G$34,MATCH($C77,'Plan Design'!$C$5:$C$34,0)))</f>
        <v>1000</v>
      </c>
      <c r="P77" s="36" t="n">
        <f aca="false">IF($E77="EE",INDEX('Plan Design'!$H$5:$H$34,MATCH($C77,'Plan Design'!$C$5:$C$34,0)),INDEX('Plan Design'!$I$5:$I$34,MATCH($C77,'Plan Design'!$C$5:$C$34,0)))</f>
        <v>5500</v>
      </c>
      <c r="Q77" s="37" t="n">
        <f aca="false">$M77+$P77</f>
        <v>9088</v>
      </c>
      <c r="R77" s="6" t="str">
        <f aca="false">$C77&amp;"|"&amp;$E77</f>
        <v>TriNet|Aetna ACO 1000 AZ|EE</v>
      </c>
    </row>
    <row r="78" customFormat="false" ht="15" hidden="false" customHeight="false" outlineLevel="0" collapsed="false">
      <c r="A78" s="38" t="s">
        <v>35</v>
      </c>
      <c r="B78" s="38" t="s">
        <v>175</v>
      </c>
      <c r="C78" s="38" t="s">
        <v>176</v>
      </c>
      <c r="D78" s="38" t="s">
        <v>15</v>
      </c>
      <c r="E78" s="38" t="s">
        <v>16</v>
      </c>
      <c r="F78" s="39" t="str">
        <f aca="false">INDEX('Plan Design'!$E$5:$E$34,MATCH($C78,'Plan Design'!$C$5:$C$34,0))</f>
        <v>N</v>
      </c>
      <c r="G78" s="40" t="n">
        <f aca="false">INDEX('Plan Design'!$O$5:$R$34,MATCH($C78,'Plan Design'!$C$5:$C$34,0),MATCH($E78,'Plan Design'!$O$4:$R$4,0))</f>
        <v>1382</v>
      </c>
      <c r="H78" s="40" t="n">
        <f aca="false">INDEX(Assumptions!$C$10:$C$13,MATCH($E78,Assumptions!$B$10:$B$13,0))</f>
        <v>600</v>
      </c>
      <c r="I78" s="40" t="n">
        <f aca="false">INDEX(Assumptions!$D$18:$D$20,MATCH($A78,Assumptions!$A$18:$A$20,0))</f>
        <v>269.5</v>
      </c>
      <c r="J78" s="41" t="n">
        <f aca="false">MIN($G78,MAX($H78,$I78))</f>
        <v>600</v>
      </c>
      <c r="K78" s="41" t="n">
        <f aca="false">$G78-$J78</f>
        <v>782</v>
      </c>
      <c r="L78" s="42" t="n">
        <f aca="false">$J78*12</f>
        <v>7200</v>
      </c>
      <c r="M78" s="42" t="n">
        <f aca="false">$K78*12</f>
        <v>9384</v>
      </c>
      <c r="N78" s="43" t="n">
        <f aca="false">IF($G78=0,0,$J78/$G78)</f>
        <v>0.434153400868307</v>
      </c>
      <c r="O78" s="44" t="n">
        <f aca="false">IF($E78="EE",INDEX('Plan Design'!$F$5:$F$34,MATCH($C78,'Plan Design'!$C$5:$C$34,0)),INDEX('Plan Design'!$G$5:$G$34,MATCH($C78,'Plan Design'!$C$5:$C$34,0)))</f>
        <v>2000</v>
      </c>
      <c r="P78" s="44" t="n">
        <f aca="false">IF($E78="EE",INDEX('Plan Design'!$H$5:$H$34,MATCH($C78,'Plan Design'!$C$5:$C$34,0)),INDEX('Plan Design'!$I$5:$I$34,MATCH($C78,'Plan Design'!$C$5:$C$34,0)))</f>
        <v>11000</v>
      </c>
      <c r="Q78" s="45" t="n">
        <f aca="false">$M78+$P78</f>
        <v>20384</v>
      </c>
      <c r="R78" s="6" t="str">
        <f aca="false">$C78&amp;"|"&amp;$E78</f>
        <v>TriNet|Aetna ACO 1000 AZ|ES</v>
      </c>
    </row>
    <row r="79" customFormat="false" ht="15" hidden="false" customHeight="false" outlineLevel="0" collapsed="false">
      <c r="A79" s="11" t="s">
        <v>35</v>
      </c>
      <c r="B79" s="11" t="s">
        <v>175</v>
      </c>
      <c r="C79" s="11" t="s">
        <v>176</v>
      </c>
      <c r="D79" s="11" t="s">
        <v>18</v>
      </c>
      <c r="E79" s="11" t="s">
        <v>19</v>
      </c>
      <c r="F79" s="33" t="str">
        <f aca="false">INDEX('Plan Design'!$E$5:$E$34,MATCH($C79,'Plan Design'!$C$5:$C$34,0))</f>
        <v>N</v>
      </c>
      <c r="G79" s="34" t="n">
        <f aca="false">INDEX('Plan Design'!$O$5:$R$34,MATCH($C79,'Plan Design'!$C$5:$C$34,0),MATCH($E79,'Plan Design'!$O$4:$R$4,0))</f>
        <v>1220</v>
      </c>
      <c r="H79" s="34" t="n">
        <f aca="false">INDEX(Assumptions!$C$10:$C$13,MATCH($E79,Assumptions!$B$10:$B$13,0))</f>
        <v>600</v>
      </c>
      <c r="I79" s="34" t="n">
        <f aca="false">INDEX(Assumptions!$D$18:$D$20,MATCH($A79,Assumptions!$A$18:$A$20,0))</f>
        <v>269.5</v>
      </c>
      <c r="J79" s="19" t="n">
        <f aca="false">MIN($G79,MAX($H79,$I79))</f>
        <v>600</v>
      </c>
      <c r="K79" s="19" t="n">
        <f aca="false">$G79-$J79</f>
        <v>620</v>
      </c>
      <c r="L79" s="14" t="n">
        <f aca="false">$J79*12</f>
        <v>7200</v>
      </c>
      <c r="M79" s="14" t="n">
        <f aca="false">$K79*12</f>
        <v>7440</v>
      </c>
      <c r="N79" s="35" t="n">
        <f aca="false">IF($G79=0,0,$J79/$G79)</f>
        <v>0.491803278688525</v>
      </c>
      <c r="O79" s="36" t="n">
        <f aca="false">IF($E79="EE",INDEX('Plan Design'!$F$5:$F$34,MATCH($C79,'Plan Design'!$C$5:$C$34,0)),INDEX('Plan Design'!$G$5:$G$34,MATCH($C79,'Plan Design'!$C$5:$C$34,0)))</f>
        <v>2000</v>
      </c>
      <c r="P79" s="36" t="n">
        <f aca="false">IF($E79="EE",INDEX('Plan Design'!$H$5:$H$34,MATCH($C79,'Plan Design'!$C$5:$C$34,0)),INDEX('Plan Design'!$I$5:$I$34,MATCH($C79,'Plan Design'!$C$5:$C$34,0)))</f>
        <v>11000</v>
      </c>
      <c r="Q79" s="37" t="n">
        <f aca="false">$M79+$P79</f>
        <v>18440</v>
      </c>
      <c r="R79" s="6" t="str">
        <f aca="false">$C79&amp;"|"&amp;$E79</f>
        <v>TriNet|Aetna ACO 1000 AZ|EC</v>
      </c>
    </row>
    <row r="80" customFormat="false" ht="15" hidden="false" customHeight="false" outlineLevel="0" collapsed="false">
      <c r="A80" s="38" t="s">
        <v>35</v>
      </c>
      <c r="B80" s="38" t="s">
        <v>175</v>
      </c>
      <c r="C80" s="38" t="s">
        <v>176</v>
      </c>
      <c r="D80" s="38" t="s">
        <v>21</v>
      </c>
      <c r="E80" s="38" t="s">
        <v>22</v>
      </c>
      <c r="F80" s="39" t="str">
        <f aca="false">INDEX('Plan Design'!$E$5:$E$34,MATCH($C80,'Plan Design'!$C$5:$C$34,0))</f>
        <v>N</v>
      </c>
      <c r="G80" s="40" t="n">
        <f aca="false">INDEX('Plan Design'!$O$5:$R$34,MATCH($C80,'Plan Design'!$C$5:$C$34,0),MATCH($E80,'Plan Design'!$O$4:$R$4,0))</f>
        <v>1812</v>
      </c>
      <c r="H80" s="40" t="n">
        <f aca="false">INDEX(Assumptions!$C$10:$C$13,MATCH($E80,Assumptions!$B$10:$B$13,0))</f>
        <v>1000</v>
      </c>
      <c r="I80" s="40" t="n">
        <f aca="false">INDEX(Assumptions!$D$18:$D$20,MATCH($A80,Assumptions!$A$18:$A$20,0))</f>
        <v>269.5</v>
      </c>
      <c r="J80" s="41" t="n">
        <f aca="false">MIN($G80,MAX($H80,$I80))</f>
        <v>1000</v>
      </c>
      <c r="K80" s="41" t="n">
        <f aca="false">$G80-$J80</f>
        <v>812</v>
      </c>
      <c r="L80" s="42" t="n">
        <f aca="false">$J80*12</f>
        <v>12000</v>
      </c>
      <c r="M80" s="42" t="n">
        <f aca="false">$K80*12</f>
        <v>9744</v>
      </c>
      <c r="N80" s="43" t="n">
        <f aca="false">IF($G80=0,0,$J80/$G80)</f>
        <v>0.551876379690949</v>
      </c>
      <c r="O80" s="44" t="n">
        <f aca="false">IF($E80="EE",INDEX('Plan Design'!$F$5:$F$34,MATCH($C80,'Plan Design'!$C$5:$C$34,0)),INDEX('Plan Design'!$G$5:$G$34,MATCH($C80,'Plan Design'!$C$5:$C$34,0)))</f>
        <v>2000</v>
      </c>
      <c r="P80" s="44" t="n">
        <f aca="false">IF($E80="EE",INDEX('Plan Design'!$H$5:$H$34,MATCH($C80,'Plan Design'!$C$5:$C$34,0)),INDEX('Plan Design'!$I$5:$I$34,MATCH($C80,'Plan Design'!$C$5:$C$34,0)))</f>
        <v>11000</v>
      </c>
      <c r="Q80" s="45" t="n">
        <f aca="false">$M80+$P80</f>
        <v>20744</v>
      </c>
      <c r="R80" s="6" t="str">
        <f aca="false">$C80&amp;"|"&amp;$E80</f>
        <v>TriNet|Aetna ACO 1000 AZ|FAM</v>
      </c>
    </row>
    <row r="81" customFormat="false" ht="15" hidden="false" customHeight="false" outlineLevel="0" collapsed="false">
      <c r="A81" s="11" t="s">
        <v>35</v>
      </c>
      <c r="B81" s="11" t="s">
        <v>177</v>
      </c>
      <c r="C81" s="11" t="s">
        <v>178</v>
      </c>
      <c r="D81" s="11" t="s">
        <v>12</v>
      </c>
      <c r="E81" s="11" t="s">
        <v>13</v>
      </c>
      <c r="F81" s="33" t="str">
        <f aca="false">INDEX('Plan Design'!$E$5:$E$34,MATCH($C81,'Plan Design'!$C$5:$C$34,0))</f>
        <v>N</v>
      </c>
      <c r="G81" s="34" t="n">
        <f aca="false">INDEX('Plan Design'!$O$5:$R$34,MATCH($C81,'Plan Design'!$C$5:$C$34,0),MATCH($E81,'Plan Design'!$O$4:$R$4,0))</f>
        <v>626</v>
      </c>
      <c r="H81" s="34" t="n">
        <f aca="false">INDEX(Assumptions!$C$10:$C$13,MATCH($E81,Assumptions!$B$10:$B$13,0))</f>
        <v>300</v>
      </c>
      <c r="I81" s="34" t="n">
        <f aca="false">INDEX(Assumptions!$D$18:$D$20,MATCH($A81,Assumptions!$A$18:$A$20,0))</f>
        <v>269.5</v>
      </c>
      <c r="J81" s="19" t="n">
        <f aca="false">MIN($G81,MAX($H81,$I81))</f>
        <v>300</v>
      </c>
      <c r="K81" s="19" t="n">
        <f aca="false">$G81-$J81</f>
        <v>326</v>
      </c>
      <c r="L81" s="14" t="n">
        <f aca="false">$J81*12</f>
        <v>3600</v>
      </c>
      <c r="M81" s="14" t="n">
        <f aca="false">$K81*12</f>
        <v>3912</v>
      </c>
      <c r="N81" s="35" t="n">
        <f aca="false">IF($G81=0,0,$J81/$G81)</f>
        <v>0.479233226837061</v>
      </c>
      <c r="O81" s="36" t="n">
        <f aca="false">IF($E81="EE",INDEX('Plan Design'!$F$5:$F$34,MATCH($C81,'Plan Design'!$C$5:$C$34,0)),INDEX('Plan Design'!$G$5:$G$34,MATCH($C81,'Plan Design'!$C$5:$C$34,0)))</f>
        <v>3000</v>
      </c>
      <c r="P81" s="36" t="n">
        <f aca="false">IF($E81="EE",INDEX('Plan Design'!$H$5:$H$34,MATCH($C81,'Plan Design'!$C$5:$C$34,0)),INDEX('Plan Design'!$I$5:$I$34,MATCH($C81,'Plan Design'!$C$5:$C$34,0)))</f>
        <v>6000</v>
      </c>
      <c r="Q81" s="37" t="n">
        <f aca="false">$M81+$P81</f>
        <v>9912</v>
      </c>
      <c r="R81" s="6" t="str">
        <f aca="false">$C81&amp;"|"&amp;$E81</f>
        <v>TriNet|Aetna PPO 3000|EE</v>
      </c>
    </row>
    <row r="82" customFormat="false" ht="15" hidden="false" customHeight="false" outlineLevel="0" collapsed="false">
      <c r="A82" s="38" t="s">
        <v>35</v>
      </c>
      <c r="B82" s="38" t="s">
        <v>177</v>
      </c>
      <c r="C82" s="38" t="s">
        <v>178</v>
      </c>
      <c r="D82" s="38" t="s">
        <v>15</v>
      </c>
      <c r="E82" s="38" t="s">
        <v>16</v>
      </c>
      <c r="F82" s="39" t="str">
        <f aca="false">INDEX('Plan Design'!$E$5:$E$34,MATCH($C82,'Plan Design'!$C$5:$C$34,0))</f>
        <v>N</v>
      </c>
      <c r="G82" s="40" t="n">
        <f aca="false">INDEX('Plan Design'!$O$5:$R$34,MATCH($C82,'Plan Design'!$C$5:$C$34,0),MATCH($E82,'Plan Design'!$O$4:$R$4,0))</f>
        <v>1446</v>
      </c>
      <c r="H82" s="40" t="n">
        <f aca="false">INDEX(Assumptions!$C$10:$C$13,MATCH($E82,Assumptions!$B$10:$B$13,0))</f>
        <v>600</v>
      </c>
      <c r="I82" s="40" t="n">
        <f aca="false">INDEX(Assumptions!$D$18:$D$20,MATCH($A82,Assumptions!$A$18:$A$20,0))</f>
        <v>269.5</v>
      </c>
      <c r="J82" s="41" t="n">
        <f aca="false">MIN($G82,MAX($H82,$I82))</f>
        <v>600</v>
      </c>
      <c r="K82" s="41" t="n">
        <f aca="false">$G82-$J82</f>
        <v>846</v>
      </c>
      <c r="L82" s="42" t="n">
        <f aca="false">$J82*12</f>
        <v>7200</v>
      </c>
      <c r="M82" s="42" t="n">
        <f aca="false">$K82*12</f>
        <v>10152</v>
      </c>
      <c r="N82" s="43" t="n">
        <f aca="false">IF($G82=0,0,$J82/$G82)</f>
        <v>0.4149377593361</v>
      </c>
      <c r="O82" s="44" t="n">
        <f aca="false">IF($E82="EE",INDEX('Plan Design'!$F$5:$F$34,MATCH($C82,'Plan Design'!$C$5:$C$34,0)),INDEX('Plan Design'!$G$5:$G$34,MATCH($C82,'Plan Design'!$C$5:$C$34,0)))</f>
        <v>6000</v>
      </c>
      <c r="P82" s="44" t="n">
        <f aca="false">IF($E82="EE",INDEX('Plan Design'!$H$5:$H$34,MATCH($C82,'Plan Design'!$C$5:$C$34,0)),INDEX('Plan Design'!$I$5:$I$34,MATCH($C82,'Plan Design'!$C$5:$C$34,0)))</f>
        <v>12000</v>
      </c>
      <c r="Q82" s="45" t="n">
        <f aca="false">$M82+$P82</f>
        <v>22152</v>
      </c>
      <c r="R82" s="6" t="str">
        <f aca="false">$C82&amp;"|"&amp;$E82</f>
        <v>TriNet|Aetna PPO 3000|ES</v>
      </c>
    </row>
    <row r="83" customFormat="false" ht="15" hidden="false" customHeight="false" outlineLevel="0" collapsed="false">
      <c r="A83" s="11" t="s">
        <v>35</v>
      </c>
      <c r="B83" s="11" t="s">
        <v>177</v>
      </c>
      <c r="C83" s="11" t="s">
        <v>178</v>
      </c>
      <c r="D83" s="11" t="s">
        <v>18</v>
      </c>
      <c r="E83" s="11" t="s">
        <v>19</v>
      </c>
      <c r="F83" s="33" t="str">
        <f aca="false">INDEX('Plan Design'!$E$5:$E$34,MATCH($C83,'Plan Design'!$C$5:$C$34,0))</f>
        <v>N</v>
      </c>
      <c r="G83" s="34" t="n">
        <f aca="false">INDEX('Plan Design'!$O$5:$R$34,MATCH($C83,'Plan Design'!$C$5:$C$34,0),MATCH($E83,'Plan Design'!$O$4:$R$4,0))</f>
        <v>1277</v>
      </c>
      <c r="H83" s="34" t="n">
        <f aca="false">INDEX(Assumptions!$C$10:$C$13,MATCH($E83,Assumptions!$B$10:$B$13,0))</f>
        <v>600</v>
      </c>
      <c r="I83" s="34" t="n">
        <f aca="false">INDEX(Assumptions!$D$18:$D$20,MATCH($A83,Assumptions!$A$18:$A$20,0))</f>
        <v>269.5</v>
      </c>
      <c r="J83" s="19" t="n">
        <f aca="false">MIN($G83,MAX($H83,$I83))</f>
        <v>600</v>
      </c>
      <c r="K83" s="19" t="n">
        <f aca="false">$G83-$J83</f>
        <v>677</v>
      </c>
      <c r="L83" s="14" t="n">
        <f aca="false">$J83*12</f>
        <v>7200</v>
      </c>
      <c r="M83" s="14" t="n">
        <f aca="false">$K83*12</f>
        <v>8124</v>
      </c>
      <c r="N83" s="35" t="n">
        <f aca="false">IF($G83=0,0,$J83/$G83)</f>
        <v>0.469851213782302</v>
      </c>
      <c r="O83" s="36" t="n">
        <f aca="false">IF($E83="EE",INDEX('Plan Design'!$F$5:$F$34,MATCH($C83,'Plan Design'!$C$5:$C$34,0)),INDEX('Plan Design'!$G$5:$G$34,MATCH($C83,'Plan Design'!$C$5:$C$34,0)))</f>
        <v>6000</v>
      </c>
      <c r="P83" s="36" t="n">
        <f aca="false">IF($E83="EE",INDEX('Plan Design'!$H$5:$H$34,MATCH($C83,'Plan Design'!$C$5:$C$34,0)),INDEX('Plan Design'!$I$5:$I$34,MATCH($C83,'Plan Design'!$C$5:$C$34,0)))</f>
        <v>12000</v>
      </c>
      <c r="Q83" s="37" t="n">
        <f aca="false">$M83+$P83</f>
        <v>20124</v>
      </c>
      <c r="R83" s="6" t="str">
        <f aca="false">$C83&amp;"|"&amp;$E83</f>
        <v>TriNet|Aetna PPO 3000|EC</v>
      </c>
    </row>
    <row r="84" customFormat="false" ht="15" hidden="false" customHeight="false" outlineLevel="0" collapsed="false">
      <c r="A84" s="38" t="s">
        <v>35</v>
      </c>
      <c r="B84" s="38" t="s">
        <v>177</v>
      </c>
      <c r="C84" s="38" t="s">
        <v>178</v>
      </c>
      <c r="D84" s="38" t="s">
        <v>21</v>
      </c>
      <c r="E84" s="38" t="s">
        <v>22</v>
      </c>
      <c r="F84" s="39" t="str">
        <f aca="false">INDEX('Plan Design'!$E$5:$E$34,MATCH($C84,'Plan Design'!$C$5:$C$34,0))</f>
        <v>N</v>
      </c>
      <c r="G84" s="40" t="n">
        <f aca="false">INDEX('Plan Design'!$O$5:$R$34,MATCH($C84,'Plan Design'!$C$5:$C$34,0),MATCH($E84,'Plan Design'!$O$4:$R$4,0))</f>
        <v>1897</v>
      </c>
      <c r="H84" s="40" t="n">
        <f aca="false">INDEX(Assumptions!$C$10:$C$13,MATCH($E84,Assumptions!$B$10:$B$13,0))</f>
        <v>1000</v>
      </c>
      <c r="I84" s="40" t="n">
        <f aca="false">INDEX(Assumptions!$D$18:$D$20,MATCH($A84,Assumptions!$A$18:$A$20,0))</f>
        <v>269.5</v>
      </c>
      <c r="J84" s="41" t="n">
        <f aca="false">MIN($G84,MAX($H84,$I84))</f>
        <v>1000</v>
      </c>
      <c r="K84" s="41" t="n">
        <f aca="false">$G84-$J84</f>
        <v>897</v>
      </c>
      <c r="L84" s="42" t="n">
        <f aca="false">$J84*12</f>
        <v>12000</v>
      </c>
      <c r="M84" s="42" t="n">
        <f aca="false">$K84*12</f>
        <v>10764</v>
      </c>
      <c r="N84" s="43" t="n">
        <f aca="false">IF($G84=0,0,$J84/$G84)</f>
        <v>0.527148128624143</v>
      </c>
      <c r="O84" s="44" t="n">
        <f aca="false">IF($E84="EE",INDEX('Plan Design'!$F$5:$F$34,MATCH($C84,'Plan Design'!$C$5:$C$34,0)),INDEX('Plan Design'!$G$5:$G$34,MATCH($C84,'Plan Design'!$C$5:$C$34,0)))</f>
        <v>6000</v>
      </c>
      <c r="P84" s="44" t="n">
        <f aca="false">IF($E84="EE",INDEX('Plan Design'!$H$5:$H$34,MATCH($C84,'Plan Design'!$C$5:$C$34,0)),INDEX('Plan Design'!$I$5:$I$34,MATCH($C84,'Plan Design'!$C$5:$C$34,0)))</f>
        <v>12000</v>
      </c>
      <c r="Q84" s="45" t="n">
        <f aca="false">$M84+$P84</f>
        <v>22764</v>
      </c>
      <c r="R84" s="6" t="str">
        <f aca="false">$C84&amp;"|"&amp;$E84</f>
        <v>TriNet|Aetna PPO 3000|FAM</v>
      </c>
    </row>
    <row r="85" customFormat="false" ht="15" hidden="false" customHeight="false" outlineLevel="0" collapsed="false">
      <c r="A85" s="11" t="s">
        <v>35</v>
      </c>
      <c r="B85" s="11" t="s">
        <v>179</v>
      </c>
      <c r="C85" s="11" t="s">
        <v>180</v>
      </c>
      <c r="D85" s="11" t="s">
        <v>12</v>
      </c>
      <c r="E85" s="11" t="s">
        <v>13</v>
      </c>
      <c r="F85" s="33" t="str">
        <f aca="false">INDEX('Plan Design'!$E$5:$E$34,MATCH($C85,'Plan Design'!$C$5:$C$34,0))</f>
        <v>N</v>
      </c>
      <c r="G85" s="34" t="n">
        <f aca="false">INDEX('Plan Design'!$O$5:$R$34,MATCH($C85,'Plan Design'!$C$5:$C$34,0),MATCH($E85,'Plan Design'!$O$4:$R$4,0))</f>
        <v>632</v>
      </c>
      <c r="H85" s="34" t="n">
        <f aca="false">INDEX(Assumptions!$C$10:$C$13,MATCH($E85,Assumptions!$B$10:$B$13,0))</f>
        <v>300</v>
      </c>
      <c r="I85" s="34" t="n">
        <f aca="false">INDEX(Assumptions!$D$18:$D$20,MATCH($A85,Assumptions!$A$18:$A$20,0))</f>
        <v>269.5</v>
      </c>
      <c r="J85" s="19" t="n">
        <f aca="false">MIN($G85,MAX($H85,$I85))</f>
        <v>300</v>
      </c>
      <c r="K85" s="19" t="n">
        <f aca="false">$G85-$J85</f>
        <v>332</v>
      </c>
      <c r="L85" s="14" t="n">
        <f aca="false">$J85*12</f>
        <v>3600</v>
      </c>
      <c r="M85" s="14" t="n">
        <f aca="false">$K85*12</f>
        <v>3984</v>
      </c>
      <c r="N85" s="35" t="n">
        <f aca="false">IF($G85=0,0,$J85/$G85)</f>
        <v>0.474683544303797</v>
      </c>
      <c r="O85" s="36" t="n">
        <f aca="false">IF($E85="EE",INDEX('Plan Design'!$F$5:$F$34,MATCH($C85,'Plan Design'!$C$5:$C$34,0)),INDEX('Plan Design'!$G$5:$G$34,MATCH($C85,'Plan Design'!$C$5:$C$34,0)))</f>
        <v>2000</v>
      </c>
      <c r="P85" s="36" t="n">
        <f aca="false">IF($E85="EE",INDEX('Plan Design'!$H$5:$H$34,MATCH($C85,'Plan Design'!$C$5:$C$34,0)),INDEX('Plan Design'!$I$5:$I$34,MATCH($C85,'Plan Design'!$C$5:$C$34,0)))</f>
        <v>6850</v>
      </c>
      <c r="Q85" s="37" t="n">
        <f aca="false">$M85+$P85</f>
        <v>10834</v>
      </c>
      <c r="R85" s="6" t="str">
        <f aca="false">$C85&amp;"|"&amp;$E85</f>
        <v>TriNet|Aetna PPO 2000|EE</v>
      </c>
    </row>
    <row r="86" customFormat="false" ht="15" hidden="false" customHeight="false" outlineLevel="0" collapsed="false">
      <c r="A86" s="38" t="s">
        <v>35</v>
      </c>
      <c r="B86" s="38" t="s">
        <v>179</v>
      </c>
      <c r="C86" s="38" t="s">
        <v>180</v>
      </c>
      <c r="D86" s="38" t="s">
        <v>15</v>
      </c>
      <c r="E86" s="38" t="s">
        <v>16</v>
      </c>
      <c r="F86" s="39" t="str">
        <f aca="false">INDEX('Plan Design'!$E$5:$E$34,MATCH($C86,'Plan Design'!$C$5:$C$34,0))</f>
        <v>N</v>
      </c>
      <c r="G86" s="40" t="n">
        <f aca="false">INDEX('Plan Design'!$O$5:$R$34,MATCH($C86,'Plan Design'!$C$5:$C$34,0),MATCH($E86,'Plan Design'!$O$4:$R$4,0))</f>
        <v>1460</v>
      </c>
      <c r="H86" s="40" t="n">
        <f aca="false">INDEX(Assumptions!$C$10:$C$13,MATCH($E86,Assumptions!$B$10:$B$13,0))</f>
        <v>600</v>
      </c>
      <c r="I86" s="40" t="n">
        <f aca="false">INDEX(Assumptions!$D$18:$D$20,MATCH($A86,Assumptions!$A$18:$A$20,0))</f>
        <v>269.5</v>
      </c>
      <c r="J86" s="41" t="n">
        <f aca="false">MIN($G86,MAX($H86,$I86))</f>
        <v>600</v>
      </c>
      <c r="K86" s="41" t="n">
        <f aca="false">$G86-$J86</f>
        <v>860</v>
      </c>
      <c r="L86" s="42" t="n">
        <f aca="false">$J86*12</f>
        <v>7200</v>
      </c>
      <c r="M86" s="42" t="n">
        <f aca="false">$K86*12</f>
        <v>10320</v>
      </c>
      <c r="N86" s="43" t="n">
        <f aca="false">IF($G86=0,0,$J86/$G86)</f>
        <v>0.410958904109589</v>
      </c>
      <c r="O86" s="44" t="n">
        <f aca="false">IF($E86="EE",INDEX('Plan Design'!$F$5:$F$34,MATCH($C86,'Plan Design'!$C$5:$C$34,0)),INDEX('Plan Design'!$G$5:$G$34,MATCH($C86,'Plan Design'!$C$5:$C$34,0)))</f>
        <v>4000</v>
      </c>
      <c r="P86" s="44" t="n">
        <f aca="false">IF($E86="EE",INDEX('Plan Design'!$H$5:$H$34,MATCH($C86,'Plan Design'!$C$5:$C$34,0)),INDEX('Plan Design'!$I$5:$I$34,MATCH($C86,'Plan Design'!$C$5:$C$34,0)))</f>
        <v>13700</v>
      </c>
      <c r="Q86" s="45" t="n">
        <f aca="false">$M86+$P86</f>
        <v>24020</v>
      </c>
      <c r="R86" s="6" t="str">
        <f aca="false">$C86&amp;"|"&amp;$E86</f>
        <v>TriNet|Aetna PPO 2000|ES</v>
      </c>
    </row>
    <row r="87" customFormat="false" ht="15" hidden="false" customHeight="false" outlineLevel="0" collapsed="false">
      <c r="A87" s="11" t="s">
        <v>35</v>
      </c>
      <c r="B87" s="11" t="s">
        <v>179</v>
      </c>
      <c r="C87" s="11" t="s">
        <v>180</v>
      </c>
      <c r="D87" s="11" t="s">
        <v>18</v>
      </c>
      <c r="E87" s="11" t="s">
        <v>19</v>
      </c>
      <c r="F87" s="33" t="str">
        <f aca="false">INDEX('Plan Design'!$E$5:$E$34,MATCH($C87,'Plan Design'!$C$5:$C$34,0))</f>
        <v>N</v>
      </c>
      <c r="G87" s="34" t="n">
        <f aca="false">INDEX('Plan Design'!$O$5:$R$34,MATCH($C87,'Plan Design'!$C$5:$C$34,0),MATCH($E87,'Plan Design'!$O$4:$R$4,0))</f>
        <v>1290</v>
      </c>
      <c r="H87" s="34" t="n">
        <f aca="false">INDEX(Assumptions!$C$10:$C$13,MATCH($E87,Assumptions!$B$10:$B$13,0))</f>
        <v>600</v>
      </c>
      <c r="I87" s="34" t="n">
        <f aca="false">INDEX(Assumptions!$D$18:$D$20,MATCH($A87,Assumptions!$A$18:$A$20,0))</f>
        <v>269.5</v>
      </c>
      <c r="J87" s="19" t="n">
        <f aca="false">MIN($G87,MAX($H87,$I87))</f>
        <v>600</v>
      </c>
      <c r="K87" s="19" t="n">
        <f aca="false">$G87-$J87</f>
        <v>690</v>
      </c>
      <c r="L87" s="14" t="n">
        <f aca="false">$J87*12</f>
        <v>7200</v>
      </c>
      <c r="M87" s="14" t="n">
        <f aca="false">$K87*12</f>
        <v>8280</v>
      </c>
      <c r="N87" s="35" t="n">
        <f aca="false">IF($G87=0,0,$J87/$G87)</f>
        <v>0.465116279069767</v>
      </c>
      <c r="O87" s="36" t="n">
        <f aca="false">IF($E87="EE",INDEX('Plan Design'!$F$5:$F$34,MATCH($C87,'Plan Design'!$C$5:$C$34,0)),INDEX('Plan Design'!$G$5:$G$34,MATCH($C87,'Plan Design'!$C$5:$C$34,0)))</f>
        <v>4000</v>
      </c>
      <c r="P87" s="36" t="n">
        <f aca="false">IF($E87="EE",INDEX('Plan Design'!$H$5:$H$34,MATCH($C87,'Plan Design'!$C$5:$C$34,0)),INDEX('Plan Design'!$I$5:$I$34,MATCH($C87,'Plan Design'!$C$5:$C$34,0)))</f>
        <v>13700</v>
      </c>
      <c r="Q87" s="37" t="n">
        <f aca="false">$M87+$P87</f>
        <v>21980</v>
      </c>
      <c r="R87" s="6" t="str">
        <f aca="false">$C87&amp;"|"&amp;$E87</f>
        <v>TriNet|Aetna PPO 2000|EC</v>
      </c>
    </row>
    <row r="88" customFormat="false" ht="15" hidden="false" customHeight="false" outlineLevel="0" collapsed="false">
      <c r="A88" s="38" t="s">
        <v>35</v>
      </c>
      <c r="B88" s="38" t="s">
        <v>179</v>
      </c>
      <c r="C88" s="38" t="s">
        <v>180</v>
      </c>
      <c r="D88" s="38" t="s">
        <v>21</v>
      </c>
      <c r="E88" s="38" t="s">
        <v>22</v>
      </c>
      <c r="F88" s="39" t="str">
        <f aca="false">INDEX('Plan Design'!$E$5:$E$34,MATCH($C88,'Plan Design'!$C$5:$C$34,0))</f>
        <v>N</v>
      </c>
      <c r="G88" s="40" t="n">
        <f aca="false">INDEX('Plan Design'!$O$5:$R$34,MATCH($C88,'Plan Design'!$C$5:$C$34,0),MATCH($E88,'Plan Design'!$O$4:$R$4,0))</f>
        <v>1915</v>
      </c>
      <c r="H88" s="40" t="n">
        <f aca="false">INDEX(Assumptions!$C$10:$C$13,MATCH($E88,Assumptions!$B$10:$B$13,0))</f>
        <v>1000</v>
      </c>
      <c r="I88" s="40" t="n">
        <f aca="false">INDEX(Assumptions!$D$18:$D$20,MATCH($A88,Assumptions!$A$18:$A$20,0))</f>
        <v>269.5</v>
      </c>
      <c r="J88" s="41" t="n">
        <f aca="false">MIN($G88,MAX($H88,$I88))</f>
        <v>1000</v>
      </c>
      <c r="K88" s="41" t="n">
        <f aca="false">$G88-$J88</f>
        <v>915</v>
      </c>
      <c r="L88" s="42" t="n">
        <f aca="false">$J88*12</f>
        <v>12000</v>
      </c>
      <c r="M88" s="42" t="n">
        <f aca="false">$K88*12</f>
        <v>10980</v>
      </c>
      <c r="N88" s="43" t="n">
        <f aca="false">IF($G88=0,0,$J88/$G88)</f>
        <v>0.522193211488251</v>
      </c>
      <c r="O88" s="44" t="n">
        <f aca="false">IF($E88="EE",INDEX('Plan Design'!$F$5:$F$34,MATCH($C88,'Plan Design'!$C$5:$C$34,0)),INDEX('Plan Design'!$G$5:$G$34,MATCH($C88,'Plan Design'!$C$5:$C$34,0)))</f>
        <v>4000</v>
      </c>
      <c r="P88" s="44" t="n">
        <f aca="false">IF($E88="EE",INDEX('Plan Design'!$H$5:$H$34,MATCH($C88,'Plan Design'!$C$5:$C$34,0)),INDEX('Plan Design'!$I$5:$I$34,MATCH($C88,'Plan Design'!$C$5:$C$34,0)))</f>
        <v>13700</v>
      </c>
      <c r="Q88" s="45" t="n">
        <f aca="false">$M88+$P88</f>
        <v>24680</v>
      </c>
      <c r="R88" s="6" t="str">
        <f aca="false">$C88&amp;"|"&amp;$E88</f>
        <v>TriNet|Aetna PPO 2000|FAM</v>
      </c>
    </row>
    <row r="89" customFormat="false" ht="15" hidden="false" customHeight="false" outlineLevel="0" collapsed="false">
      <c r="A89" s="11" t="s">
        <v>35</v>
      </c>
      <c r="B89" s="11" t="s">
        <v>181</v>
      </c>
      <c r="C89" s="11" t="s">
        <v>182</v>
      </c>
      <c r="D89" s="11" t="s">
        <v>12</v>
      </c>
      <c r="E89" s="11" t="s">
        <v>13</v>
      </c>
      <c r="F89" s="33" t="str">
        <f aca="false">INDEX('Plan Design'!$E$5:$E$34,MATCH($C89,'Plan Design'!$C$5:$C$34,0))</f>
        <v>N</v>
      </c>
      <c r="G89" s="34" t="n">
        <f aca="false">INDEX('Plan Design'!$O$5:$R$34,MATCH($C89,'Plan Design'!$C$5:$C$34,0),MATCH($E89,'Plan Design'!$O$4:$R$4,0))</f>
        <v>640</v>
      </c>
      <c r="H89" s="34" t="n">
        <f aca="false">INDEX(Assumptions!$C$10:$C$13,MATCH($E89,Assumptions!$B$10:$B$13,0))</f>
        <v>300</v>
      </c>
      <c r="I89" s="34" t="n">
        <f aca="false">INDEX(Assumptions!$D$18:$D$20,MATCH($A89,Assumptions!$A$18:$A$20,0))</f>
        <v>269.5</v>
      </c>
      <c r="J89" s="19" t="n">
        <f aca="false">MIN($G89,MAX($H89,$I89))</f>
        <v>300</v>
      </c>
      <c r="K89" s="19" t="n">
        <f aca="false">$G89-$J89</f>
        <v>340</v>
      </c>
      <c r="L89" s="14" t="n">
        <f aca="false">$J89*12</f>
        <v>3600</v>
      </c>
      <c r="M89" s="14" t="n">
        <f aca="false">$K89*12</f>
        <v>4080</v>
      </c>
      <c r="N89" s="35" t="n">
        <f aca="false">IF($G89=0,0,$J89/$G89)</f>
        <v>0.46875</v>
      </c>
      <c r="O89" s="36" t="n">
        <f aca="false">IF($E89="EE",INDEX('Plan Design'!$F$5:$F$34,MATCH($C89,'Plan Design'!$C$5:$C$34,0)),INDEX('Plan Design'!$G$5:$G$34,MATCH($C89,'Plan Design'!$C$5:$C$34,0)))</f>
        <v>1000</v>
      </c>
      <c r="P89" s="36" t="n">
        <f aca="false">IF($E89="EE",INDEX('Plan Design'!$H$5:$H$34,MATCH($C89,'Plan Design'!$C$5:$C$34,0)),INDEX('Plan Design'!$I$5:$I$34,MATCH($C89,'Plan Design'!$C$5:$C$34,0)))</f>
        <v>5000</v>
      </c>
      <c r="Q89" s="37" t="n">
        <f aca="false">$M89+$P89</f>
        <v>9080</v>
      </c>
      <c r="R89" s="6" t="str">
        <f aca="false">$C89&amp;"|"&amp;$E89</f>
        <v>TriNet|Aetna EPO 1000|EE</v>
      </c>
    </row>
    <row r="90" customFormat="false" ht="15" hidden="false" customHeight="false" outlineLevel="0" collapsed="false">
      <c r="A90" s="38" t="s">
        <v>35</v>
      </c>
      <c r="B90" s="38" t="s">
        <v>181</v>
      </c>
      <c r="C90" s="38" t="s">
        <v>182</v>
      </c>
      <c r="D90" s="38" t="s">
        <v>15</v>
      </c>
      <c r="E90" s="38" t="s">
        <v>16</v>
      </c>
      <c r="F90" s="39" t="str">
        <f aca="false">INDEX('Plan Design'!$E$5:$E$34,MATCH($C90,'Plan Design'!$C$5:$C$34,0))</f>
        <v>N</v>
      </c>
      <c r="G90" s="40" t="n">
        <f aca="false">INDEX('Plan Design'!$O$5:$R$34,MATCH($C90,'Plan Design'!$C$5:$C$34,0),MATCH($E90,'Plan Design'!$O$4:$R$4,0))</f>
        <v>1477</v>
      </c>
      <c r="H90" s="40" t="n">
        <f aca="false">INDEX(Assumptions!$C$10:$C$13,MATCH($E90,Assumptions!$B$10:$B$13,0))</f>
        <v>600</v>
      </c>
      <c r="I90" s="40" t="n">
        <f aca="false">INDEX(Assumptions!$D$18:$D$20,MATCH($A90,Assumptions!$A$18:$A$20,0))</f>
        <v>269.5</v>
      </c>
      <c r="J90" s="41" t="n">
        <f aca="false">MIN($G90,MAX($H90,$I90))</f>
        <v>600</v>
      </c>
      <c r="K90" s="41" t="n">
        <f aca="false">$G90-$J90</f>
        <v>877</v>
      </c>
      <c r="L90" s="42" t="n">
        <f aca="false">$J90*12</f>
        <v>7200</v>
      </c>
      <c r="M90" s="42" t="n">
        <f aca="false">$K90*12</f>
        <v>10524</v>
      </c>
      <c r="N90" s="43" t="n">
        <f aca="false">IF($G90=0,0,$J90/$G90)</f>
        <v>0.4062288422478</v>
      </c>
      <c r="O90" s="44" t="n">
        <f aca="false">IF($E90="EE",INDEX('Plan Design'!$F$5:$F$34,MATCH($C90,'Plan Design'!$C$5:$C$34,0)),INDEX('Plan Design'!$G$5:$G$34,MATCH($C90,'Plan Design'!$C$5:$C$34,0)))</f>
        <v>2000</v>
      </c>
      <c r="P90" s="44" t="n">
        <f aca="false">IF($E90="EE",INDEX('Plan Design'!$H$5:$H$34,MATCH($C90,'Plan Design'!$C$5:$C$34,0)),INDEX('Plan Design'!$I$5:$I$34,MATCH($C90,'Plan Design'!$C$5:$C$34,0)))</f>
        <v>10000</v>
      </c>
      <c r="Q90" s="45" t="n">
        <f aca="false">$M90+$P90</f>
        <v>20524</v>
      </c>
      <c r="R90" s="6" t="str">
        <f aca="false">$C90&amp;"|"&amp;$E90</f>
        <v>TriNet|Aetna EPO 1000|ES</v>
      </c>
    </row>
    <row r="91" customFormat="false" ht="15" hidden="false" customHeight="false" outlineLevel="0" collapsed="false">
      <c r="A91" s="11" t="s">
        <v>35</v>
      </c>
      <c r="B91" s="11" t="s">
        <v>181</v>
      </c>
      <c r="C91" s="11" t="s">
        <v>182</v>
      </c>
      <c r="D91" s="11" t="s">
        <v>18</v>
      </c>
      <c r="E91" s="11" t="s">
        <v>19</v>
      </c>
      <c r="F91" s="33" t="str">
        <f aca="false">INDEX('Plan Design'!$E$5:$E$34,MATCH($C91,'Plan Design'!$C$5:$C$34,0))</f>
        <v>N</v>
      </c>
      <c r="G91" s="34" t="n">
        <f aca="false">INDEX('Plan Design'!$O$5:$R$34,MATCH($C91,'Plan Design'!$C$5:$C$34,0),MATCH($E91,'Plan Design'!$O$4:$R$4,0))</f>
        <v>1305</v>
      </c>
      <c r="H91" s="34" t="n">
        <f aca="false">INDEX(Assumptions!$C$10:$C$13,MATCH($E91,Assumptions!$B$10:$B$13,0))</f>
        <v>600</v>
      </c>
      <c r="I91" s="34" t="n">
        <f aca="false">INDEX(Assumptions!$D$18:$D$20,MATCH($A91,Assumptions!$A$18:$A$20,0))</f>
        <v>269.5</v>
      </c>
      <c r="J91" s="19" t="n">
        <f aca="false">MIN($G91,MAX($H91,$I91))</f>
        <v>600</v>
      </c>
      <c r="K91" s="19" t="n">
        <f aca="false">$G91-$J91</f>
        <v>705</v>
      </c>
      <c r="L91" s="14" t="n">
        <f aca="false">$J91*12</f>
        <v>7200</v>
      </c>
      <c r="M91" s="14" t="n">
        <f aca="false">$K91*12</f>
        <v>8460</v>
      </c>
      <c r="N91" s="35" t="n">
        <f aca="false">IF($G91=0,0,$J91/$G91)</f>
        <v>0.459770114942529</v>
      </c>
      <c r="O91" s="36" t="n">
        <f aca="false">IF($E91="EE",INDEX('Plan Design'!$F$5:$F$34,MATCH($C91,'Plan Design'!$C$5:$C$34,0)),INDEX('Plan Design'!$G$5:$G$34,MATCH($C91,'Plan Design'!$C$5:$C$34,0)))</f>
        <v>2000</v>
      </c>
      <c r="P91" s="36" t="n">
        <f aca="false">IF($E91="EE",INDEX('Plan Design'!$H$5:$H$34,MATCH($C91,'Plan Design'!$C$5:$C$34,0)),INDEX('Plan Design'!$I$5:$I$34,MATCH($C91,'Plan Design'!$C$5:$C$34,0)))</f>
        <v>10000</v>
      </c>
      <c r="Q91" s="37" t="n">
        <f aca="false">$M91+$P91</f>
        <v>18460</v>
      </c>
      <c r="R91" s="6" t="str">
        <f aca="false">$C91&amp;"|"&amp;$E91</f>
        <v>TriNet|Aetna EPO 1000|EC</v>
      </c>
    </row>
    <row r="92" customFormat="false" ht="15" hidden="false" customHeight="false" outlineLevel="0" collapsed="false">
      <c r="A92" s="38" t="s">
        <v>35</v>
      </c>
      <c r="B92" s="38" t="s">
        <v>181</v>
      </c>
      <c r="C92" s="38" t="s">
        <v>182</v>
      </c>
      <c r="D92" s="38" t="s">
        <v>21</v>
      </c>
      <c r="E92" s="38" t="s">
        <v>22</v>
      </c>
      <c r="F92" s="39" t="str">
        <f aca="false">INDEX('Plan Design'!$E$5:$E$34,MATCH($C92,'Plan Design'!$C$5:$C$34,0))</f>
        <v>N</v>
      </c>
      <c r="G92" s="40" t="n">
        <f aca="false">INDEX('Plan Design'!$O$5:$R$34,MATCH($C92,'Plan Design'!$C$5:$C$34,0),MATCH($E92,'Plan Design'!$O$4:$R$4,0))</f>
        <v>1938</v>
      </c>
      <c r="H92" s="40" t="n">
        <f aca="false">INDEX(Assumptions!$C$10:$C$13,MATCH($E92,Assumptions!$B$10:$B$13,0))</f>
        <v>1000</v>
      </c>
      <c r="I92" s="40" t="n">
        <f aca="false">INDEX(Assumptions!$D$18:$D$20,MATCH($A92,Assumptions!$A$18:$A$20,0))</f>
        <v>269.5</v>
      </c>
      <c r="J92" s="41" t="n">
        <f aca="false">MIN($G92,MAX($H92,$I92))</f>
        <v>1000</v>
      </c>
      <c r="K92" s="41" t="n">
        <f aca="false">$G92-$J92</f>
        <v>938</v>
      </c>
      <c r="L92" s="42" t="n">
        <f aca="false">$J92*12</f>
        <v>12000</v>
      </c>
      <c r="M92" s="42" t="n">
        <f aca="false">$K92*12</f>
        <v>11256</v>
      </c>
      <c r="N92" s="43" t="n">
        <f aca="false">IF($G92=0,0,$J92/$G92)</f>
        <v>0.515995872033024</v>
      </c>
      <c r="O92" s="44" t="n">
        <f aca="false">IF($E92="EE",INDEX('Plan Design'!$F$5:$F$34,MATCH($C92,'Plan Design'!$C$5:$C$34,0)),INDEX('Plan Design'!$G$5:$G$34,MATCH($C92,'Plan Design'!$C$5:$C$34,0)))</f>
        <v>2000</v>
      </c>
      <c r="P92" s="44" t="n">
        <f aca="false">IF($E92="EE",INDEX('Plan Design'!$H$5:$H$34,MATCH($C92,'Plan Design'!$C$5:$C$34,0)),INDEX('Plan Design'!$I$5:$I$34,MATCH($C92,'Plan Design'!$C$5:$C$34,0)))</f>
        <v>10000</v>
      </c>
      <c r="Q92" s="45" t="n">
        <f aca="false">$M92+$P92</f>
        <v>21256</v>
      </c>
      <c r="R92" s="6" t="str">
        <f aca="false">$C92&amp;"|"&amp;$E92</f>
        <v>TriNet|Aetna EPO 1000|FAM</v>
      </c>
    </row>
    <row r="93" customFormat="false" ht="15" hidden="false" customHeight="false" outlineLevel="0" collapsed="false">
      <c r="A93" s="11" t="s">
        <v>35</v>
      </c>
      <c r="B93" s="11" t="s">
        <v>183</v>
      </c>
      <c r="C93" s="11" t="s">
        <v>184</v>
      </c>
      <c r="D93" s="11" t="s">
        <v>12</v>
      </c>
      <c r="E93" s="11" t="s">
        <v>13</v>
      </c>
      <c r="F93" s="33" t="str">
        <f aca="false">INDEX('Plan Design'!$E$5:$E$34,MATCH($C93,'Plan Design'!$C$5:$C$34,0))</f>
        <v>N</v>
      </c>
      <c r="G93" s="34" t="n">
        <f aca="false">INDEX('Plan Design'!$O$5:$R$34,MATCH($C93,'Plan Design'!$C$5:$C$34,0),MATCH($E93,'Plan Design'!$O$4:$R$4,0))</f>
        <v>670</v>
      </c>
      <c r="H93" s="34" t="n">
        <f aca="false">INDEX(Assumptions!$C$10:$C$13,MATCH($E93,Assumptions!$B$10:$B$13,0))</f>
        <v>300</v>
      </c>
      <c r="I93" s="34" t="n">
        <f aca="false">INDEX(Assumptions!$D$18:$D$20,MATCH($A93,Assumptions!$A$18:$A$20,0))</f>
        <v>269.5</v>
      </c>
      <c r="J93" s="19" t="n">
        <f aca="false">MIN($G93,MAX($H93,$I93))</f>
        <v>300</v>
      </c>
      <c r="K93" s="19" t="n">
        <f aca="false">$G93-$J93</f>
        <v>370</v>
      </c>
      <c r="L93" s="14" t="n">
        <f aca="false">$J93*12</f>
        <v>3600</v>
      </c>
      <c r="M93" s="14" t="n">
        <f aca="false">$K93*12</f>
        <v>4440</v>
      </c>
      <c r="N93" s="35" t="n">
        <f aca="false">IF($G93=0,0,$J93/$G93)</f>
        <v>0.447761194029851</v>
      </c>
      <c r="O93" s="36" t="n">
        <f aca="false">IF($E93="EE",INDEX('Plan Design'!$F$5:$F$34,MATCH($C93,'Plan Design'!$C$5:$C$34,0)),INDEX('Plan Design'!$G$5:$G$34,MATCH($C93,'Plan Design'!$C$5:$C$34,0)))</f>
        <v>1000</v>
      </c>
      <c r="P93" s="36" t="n">
        <f aca="false">IF($E93="EE",INDEX('Plan Design'!$H$5:$H$34,MATCH($C93,'Plan Design'!$C$5:$C$34,0)),INDEX('Plan Design'!$I$5:$I$34,MATCH($C93,'Plan Design'!$C$5:$C$34,0)))</f>
        <v>4500</v>
      </c>
      <c r="Q93" s="37" t="n">
        <f aca="false">$M93+$P93</f>
        <v>8940</v>
      </c>
      <c r="R93" s="6" t="str">
        <f aca="false">$C93&amp;"|"&amp;$E93</f>
        <v>TriNet|Aetna PPO 1000|EE</v>
      </c>
    </row>
    <row r="94" customFormat="false" ht="15" hidden="false" customHeight="false" outlineLevel="0" collapsed="false">
      <c r="A94" s="38" t="s">
        <v>35</v>
      </c>
      <c r="B94" s="38" t="s">
        <v>183</v>
      </c>
      <c r="C94" s="38" t="s">
        <v>184</v>
      </c>
      <c r="D94" s="38" t="s">
        <v>15</v>
      </c>
      <c r="E94" s="38" t="s">
        <v>16</v>
      </c>
      <c r="F94" s="39" t="str">
        <f aca="false">INDEX('Plan Design'!$E$5:$E$34,MATCH($C94,'Plan Design'!$C$5:$C$34,0))</f>
        <v>N</v>
      </c>
      <c r="G94" s="40" t="n">
        <f aca="false">INDEX('Plan Design'!$O$5:$R$34,MATCH($C94,'Plan Design'!$C$5:$C$34,0),MATCH($E94,'Plan Design'!$O$4:$R$4,0))</f>
        <v>1548</v>
      </c>
      <c r="H94" s="40" t="n">
        <f aca="false">INDEX(Assumptions!$C$10:$C$13,MATCH($E94,Assumptions!$B$10:$B$13,0))</f>
        <v>600</v>
      </c>
      <c r="I94" s="40" t="n">
        <f aca="false">INDEX(Assumptions!$D$18:$D$20,MATCH($A94,Assumptions!$A$18:$A$20,0))</f>
        <v>269.5</v>
      </c>
      <c r="J94" s="41" t="n">
        <f aca="false">MIN($G94,MAX($H94,$I94))</f>
        <v>600</v>
      </c>
      <c r="K94" s="41" t="n">
        <f aca="false">$G94-$J94</f>
        <v>948</v>
      </c>
      <c r="L94" s="42" t="n">
        <f aca="false">$J94*12</f>
        <v>7200</v>
      </c>
      <c r="M94" s="42" t="n">
        <f aca="false">$K94*12</f>
        <v>11376</v>
      </c>
      <c r="N94" s="43" t="n">
        <f aca="false">IF($G94=0,0,$J94/$G94)</f>
        <v>0.387596899224806</v>
      </c>
      <c r="O94" s="44" t="n">
        <f aca="false">IF($E94="EE",INDEX('Plan Design'!$F$5:$F$34,MATCH($C94,'Plan Design'!$C$5:$C$34,0)),INDEX('Plan Design'!$G$5:$G$34,MATCH($C94,'Plan Design'!$C$5:$C$34,0)))</f>
        <v>2000</v>
      </c>
      <c r="P94" s="44" t="n">
        <f aca="false">IF($E94="EE",INDEX('Plan Design'!$H$5:$H$34,MATCH($C94,'Plan Design'!$C$5:$C$34,0)),INDEX('Plan Design'!$I$5:$I$34,MATCH($C94,'Plan Design'!$C$5:$C$34,0)))</f>
        <v>9000</v>
      </c>
      <c r="Q94" s="45" t="n">
        <f aca="false">$M94+$P94</f>
        <v>20376</v>
      </c>
      <c r="R94" s="6" t="str">
        <f aca="false">$C94&amp;"|"&amp;$E94</f>
        <v>TriNet|Aetna PPO 1000|ES</v>
      </c>
    </row>
    <row r="95" customFormat="false" ht="15" hidden="false" customHeight="false" outlineLevel="0" collapsed="false">
      <c r="A95" s="11" t="s">
        <v>35</v>
      </c>
      <c r="B95" s="11" t="s">
        <v>183</v>
      </c>
      <c r="C95" s="11" t="s">
        <v>184</v>
      </c>
      <c r="D95" s="11" t="s">
        <v>18</v>
      </c>
      <c r="E95" s="11" t="s">
        <v>19</v>
      </c>
      <c r="F95" s="33" t="str">
        <f aca="false">INDEX('Plan Design'!$E$5:$E$34,MATCH($C95,'Plan Design'!$C$5:$C$34,0))</f>
        <v>N</v>
      </c>
      <c r="G95" s="34" t="n">
        <f aca="false">INDEX('Plan Design'!$O$5:$R$34,MATCH($C95,'Plan Design'!$C$5:$C$34,0),MATCH($E95,'Plan Design'!$O$4:$R$4,0))</f>
        <v>1367</v>
      </c>
      <c r="H95" s="34" t="n">
        <f aca="false">INDEX(Assumptions!$C$10:$C$13,MATCH($E95,Assumptions!$B$10:$B$13,0))</f>
        <v>600</v>
      </c>
      <c r="I95" s="34" t="n">
        <f aca="false">INDEX(Assumptions!$D$18:$D$20,MATCH($A95,Assumptions!$A$18:$A$20,0))</f>
        <v>269.5</v>
      </c>
      <c r="J95" s="19" t="n">
        <f aca="false">MIN($G95,MAX($H95,$I95))</f>
        <v>600</v>
      </c>
      <c r="K95" s="19" t="n">
        <f aca="false">$G95-$J95</f>
        <v>767</v>
      </c>
      <c r="L95" s="14" t="n">
        <f aca="false">$J95*12</f>
        <v>7200</v>
      </c>
      <c r="M95" s="14" t="n">
        <f aca="false">$K95*12</f>
        <v>9204</v>
      </c>
      <c r="N95" s="35" t="n">
        <f aca="false">IF($G95=0,0,$J95/$G95)</f>
        <v>0.438917337234821</v>
      </c>
      <c r="O95" s="36" t="n">
        <f aca="false">IF($E95="EE",INDEX('Plan Design'!$F$5:$F$34,MATCH($C95,'Plan Design'!$C$5:$C$34,0)),INDEX('Plan Design'!$G$5:$G$34,MATCH($C95,'Plan Design'!$C$5:$C$34,0)))</f>
        <v>2000</v>
      </c>
      <c r="P95" s="36" t="n">
        <f aca="false">IF($E95="EE",INDEX('Plan Design'!$H$5:$H$34,MATCH($C95,'Plan Design'!$C$5:$C$34,0)),INDEX('Plan Design'!$I$5:$I$34,MATCH($C95,'Plan Design'!$C$5:$C$34,0)))</f>
        <v>9000</v>
      </c>
      <c r="Q95" s="37" t="n">
        <f aca="false">$M95+$P95</f>
        <v>18204</v>
      </c>
      <c r="R95" s="6" t="str">
        <f aca="false">$C95&amp;"|"&amp;$E95</f>
        <v>TriNet|Aetna PPO 1000|EC</v>
      </c>
    </row>
    <row r="96" customFormat="false" ht="15" hidden="false" customHeight="false" outlineLevel="0" collapsed="false">
      <c r="A96" s="38" t="s">
        <v>35</v>
      </c>
      <c r="B96" s="38" t="s">
        <v>183</v>
      </c>
      <c r="C96" s="38" t="s">
        <v>184</v>
      </c>
      <c r="D96" s="38" t="s">
        <v>21</v>
      </c>
      <c r="E96" s="38" t="s">
        <v>22</v>
      </c>
      <c r="F96" s="39" t="str">
        <f aca="false">INDEX('Plan Design'!$E$5:$E$34,MATCH($C96,'Plan Design'!$C$5:$C$34,0))</f>
        <v>N</v>
      </c>
      <c r="G96" s="40" t="n">
        <f aca="false">INDEX('Plan Design'!$O$5:$R$34,MATCH($C96,'Plan Design'!$C$5:$C$34,0),MATCH($E96,'Plan Design'!$O$4:$R$4,0))</f>
        <v>2030</v>
      </c>
      <c r="H96" s="40" t="n">
        <f aca="false">INDEX(Assumptions!$C$10:$C$13,MATCH($E96,Assumptions!$B$10:$B$13,0))</f>
        <v>1000</v>
      </c>
      <c r="I96" s="40" t="n">
        <f aca="false">INDEX(Assumptions!$D$18:$D$20,MATCH($A96,Assumptions!$A$18:$A$20,0))</f>
        <v>269.5</v>
      </c>
      <c r="J96" s="41" t="n">
        <f aca="false">MIN($G96,MAX($H96,$I96))</f>
        <v>1000</v>
      </c>
      <c r="K96" s="41" t="n">
        <f aca="false">$G96-$J96</f>
        <v>1030</v>
      </c>
      <c r="L96" s="42" t="n">
        <f aca="false">$J96*12</f>
        <v>12000</v>
      </c>
      <c r="M96" s="42" t="n">
        <f aca="false">$K96*12</f>
        <v>12360</v>
      </c>
      <c r="N96" s="43" t="n">
        <f aca="false">IF($G96=0,0,$J96/$G96)</f>
        <v>0.492610837438424</v>
      </c>
      <c r="O96" s="44" t="n">
        <f aca="false">IF($E96="EE",INDEX('Plan Design'!$F$5:$F$34,MATCH($C96,'Plan Design'!$C$5:$C$34,0)),INDEX('Plan Design'!$G$5:$G$34,MATCH($C96,'Plan Design'!$C$5:$C$34,0)))</f>
        <v>2000</v>
      </c>
      <c r="P96" s="44" t="n">
        <f aca="false">IF($E96="EE",INDEX('Plan Design'!$H$5:$H$34,MATCH($C96,'Plan Design'!$C$5:$C$34,0)),INDEX('Plan Design'!$I$5:$I$34,MATCH($C96,'Plan Design'!$C$5:$C$34,0)))</f>
        <v>9000</v>
      </c>
      <c r="Q96" s="45" t="n">
        <f aca="false">$M96+$P96</f>
        <v>21360</v>
      </c>
      <c r="R96" s="6" t="str">
        <f aca="false">$C96&amp;"|"&amp;$E96</f>
        <v>TriNet|Aetna PPO 1000|FAM</v>
      </c>
    </row>
    <row r="97" customFormat="false" ht="15" hidden="false" customHeight="false" outlineLevel="0" collapsed="false">
      <c r="A97" s="11" t="s">
        <v>35</v>
      </c>
      <c r="B97" s="11" t="s">
        <v>185</v>
      </c>
      <c r="C97" s="11" t="s">
        <v>186</v>
      </c>
      <c r="D97" s="11" t="s">
        <v>12</v>
      </c>
      <c r="E97" s="11" t="s">
        <v>13</v>
      </c>
      <c r="F97" s="33" t="str">
        <f aca="false">INDEX('Plan Design'!$E$5:$E$34,MATCH($C97,'Plan Design'!$C$5:$C$34,0))</f>
        <v>Y</v>
      </c>
      <c r="G97" s="34" t="n">
        <f aca="false">INDEX('Plan Design'!$O$5:$R$34,MATCH($C97,'Plan Design'!$C$5:$C$34,0),MATCH($E97,'Plan Design'!$O$4:$R$4,0))</f>
        <v>590</v>
      </c>
      <c r="H97" s="34" t="n">
        <f aca="false">INDEX(Assumptions!$C$10:$C$13,MATCH($E97,Assumptions!$B$10:$B$13,0))</f>
        <v>300</v>
      </c>
      <c r="I97" s="34" t="n">
        <f aca="false">INDEX(Assumptions!$D$18:$D$20,MATCH($A97,Assumptions!$A$18:$A$20,0))</f>
        <v>269.5</v>
      </c>
      <c r="J97" s="19" t="n">
        <f aca="false">MIN($G97,MAX($H97,$I97))</f>
        <v>300</v>
      </c>
      <c r="K97" s="19" t="n">
        <f aca="false">$G97-$J97</f>
        <v>290</v>
      </c>
      <c r="L97" s="14" t="n">
        <f aca="false">$J97*12</f>
        <v>3600</v>
      </c>
      <c r="M97" s="14" t="n">
        <f aca="false">$K97*12</f>
        <v>3480</v>
      </c>
      <c r="N97" s="35" t="n">
        <f aca="false">IF($G97=0,0,$J97/$G97)</f>
        <v>0.508474576271186</v>
      </c>
      <c r="O97" s="36" t="n">
        <f aca="false">IF($E97="EE",INDEX('Plan Design'!$F$5:$F$34,MATCH($C97,'Plan Design'!$C$5:$C$34,0)),INDEX('Plan Design'!$G$5:$G$34,MATCH($C97,'Plan Design'!$C$5:$C$34,0)))</f>
        <v>2000</v>
      </c>
      <c r="P97" s="36" t="n">
        <f aca="false">IF($E97="EE",INDEX('Plan Design'!$H$5:$H$34,MATCH($C97,'Plan Design'!$C$5:$C$34,0)),INDEX('Plan Design'!$I$5:$I$34,MATCH($C97,'Plan Design'!$C$5:$C$34,0)))</f>
        <v>3500</v>
      </c>
      <c r="Q97" s="37" t="n">
        <f aca="false">$M97+$P97</f>
        <v>6980</v>
      </c>
      <c r="R97" s="6" t="str">
        <f aca="false">$C97&amp;"|"&amp;$E97</f>
        <v>TriNet|Aetna HDHP 2000|EE</v>
      </c>
    </row>
    <row r="98" customFormat="false" ht="15" hidden="false" customHeight="false" outlineLevel="0" collapsed="false">
      <c r="A98" s="38" t="s">
        <v>35</v>
      </c>
      <c r="B98" s="38" t="s">
        <v>185</v>
      </c>
      <c r="C98" s="38" t="s">
        <v>186</v>
      </c>
      <c r="D98" s="38" t="s">
        <v>15</v>
      </c>
      <c r="E98" s="38" t="s">
        <v>16</v>
      </c>
      <c r="F98" s="39" t="str">
        <f aca="false">INDEX('Plan Design'!$E$5:$E$34,MATCH($C98,'Plan Design'!$C$5:$C$34,0))</f>
        <v>Y</v>
      </c>
      <c r="G98" s="40" t="n">
        <f aca="false">INDEX('Plan Design'!$O$5:$R$34,MATCH($C98,'Plan Design'!$C$5:$C$34,0),MATCH($E98,'Plan Design'!$O$4:$R$4,0))</f>
        <v>1363</v>
      </c>
      <c r="H98" s="40" t="n">
        <f aca="false">INDEX(Assumptions!$C$10:$C$13,MATCH($E98,Assumptions!$B$10:$B$13,0))</f>
        <v>600</v>
      </c>
      <c r="I98" s="40" t="n">
        <f aca="false">INDEX(Assumptions!$D$18:$D$20,MATCH($A98,Assumptions!$A$18:$A$20,0))</f>
        <v>269.5</v>
      </c>
      <c r="J98" s="41" t="n">
        <f aca="false">MIN($G98,MAX($H98,$I98))</f>
        <v>600</v>
      </c>
      <c r="K98" s="41" t="n">
        <f aca="false">$G98-$J98</f>
        <v>763</v>
      </c>
      <c r="L98" s="42" t="n">
        <f aca="false">$J98*12</f>
        <v>7200</v>
      </c>
      <c r="M98" s="42" t="n">
        <f aca="false">$K98*12</f>
        <v>9156</v>
      </c>
      <c r="N98" s="43" t="n">
        <f aca="false">IF($G98=0,0,$J98/$G98)</f>
        <v>0.440205429200294</v>
      </c>
      <c r="O98" s="44" t="n">
        <f aca="false">IF($E98="EE",INDEX('Plan Design'!$F$5:$F$34,MATCH($C98,'Plan Design'!$C$5:$C$34,0)),INDEX('Plan Design'!$G$5:$G$34,MATCH($C98,'Plan Design'!$C$5:$C$34,0)))</f>
        <v>4000</v>
      </c>
      <c r="P98" s="44" t="n">
        <f aca="false">IF($E98="EE",INDEX('Plan Design'!$H$5:$H$34,MATCH($C98,'Plan Design'!$C$5:$C$34,0)),INDEX('Plan Design'!$I$5:$I$34,MATCH($C98,'Plan Design'!$C$5:$C$34,0)))</f>
        <v>7000</v>
      </c>
      <c r="Q98" s="45" t="n">
        <f aca="false">$M98+$P98</f>
        <v>16156</v>
      </c>
      <c r="R98" s="6" t="str">
        <f aca="false">$C98&amp;"|"&amp;$E98</f>
        <v>TriNet|Aetna HDHP 2000|ES</v>
      </c>
    </row>
    <row r="99" customFormat="false" ht="15" hidden="false" customHeight="false" outlineLevel="0" collapsed="false">
      <c r="A99" s="11" t="s">
        <v>35</v>
      </c>
      <c r="B99" s="11" t="s">
        <v>185</v>
      </c>
      <c r="C99" s="11" t="s">
        <v>186</v>
      </c>
      <c r="D99" s="11" t="s">
        <v>18</v>
      </c>
      <c r="E99" s="11" t="s">
        <v>19</v>
      </c>
      <c r="F99" s="33" t="str">
        <f aca="false">INDEX('Plan Design'!$E$5:$E$34,MATCH($C99,'Plan Design'!$C$5:$C$34,0))</f>
        <v>Y</v>
      </c>
      <c r="G99" s="34" t="n">
        <f aca="false">INDEX('Plan Design'!$O$5:$R$34,MATCH($C99,'Plan Design'!$C$5:$C$34,0),MATCH($E99,'Plan Design'!$O$4:$R$4,0))</f>
        <v>1203</v>
      </c>
      <c r="H99" s="34" t="n">
        <f aca="false">INDEX(Assumptions!$C$10:$C$13,MATCH($E99,Assumptions!$B$10:$B$13,0))</f>
        <v>600</v>
      </c>
      <c r="I99" s="34" t="n">
        <f aca="false">INDEX(Assumptions!$D$18:$D$20,MATCH($A99,Assumptions!$A$18:$A$20,0))</f>
        <v>269.5</v>
      </c>
      <c r="J99" s="19" t="n">
        <f aca="false">MIN($G99,MAX($H99,$I99))</f>
        <v>600</v>
      </c>
      <c r="K99" s="19" t="n">
        <f aca="false">$G99-$J99</f>
        <v>603</v>
      </c>
      <c r="L99" s="14" t="n">
        <f aca="false">$J99*12</f>
        <v>7200</v>
      </c>
      <c r="M99" s="14" t="n">
        <f aca="false">$K99*12</f>
        <v>7236</v>
      </c>
      <c r="N99" s="35" t="n">
        <f aca="false">IF($G99=0,0,$J99/$G99)</f>
        <v>0.498753117206983</v>
      </c>
      <c r="O99" s="36" t="n">
        <f aca="false">IF($E99="EE",INDEX('Plan Design'!$F$5:$F$34,MATCH($C99,'Plan Design'!$C$5:$C$34,0)),INDEX('Plan Design'!$G$5:$G$34,MATCH($C99,'Plan Design'!$C$5:$C$34,0)))</f>
        <v>4000</v>
      </c>
      <c r="P99" s="36" t="n">
        <f aca="false">IF($E99="EE",INDEX('Plan Design'!$H$5:$H$34,MATCH($C99,'Plan Design'!$C$5:$C$34,0)),INDEX('Plan Design'!$I$5:$I$34,MATCH($C99,'Plan Design'!$C$5:$C$34,0)))</f>
        <v>7000</v>
      </c>
      <c r="Q99" s="37" t="n">
        <f aca="false">$M99+$P99</f>
        <v>14236</v>
      </c>
      <c r="R99" s="6" t="str">
        <f aca="false">$C99&amp;"|"&amp;$E99</f>
        <v>TriNet|Aetna HDHP 2000|EC</v>
      </c>
    </row>
    <row r="100" customFormat="false" ht="15" hidden="false" customHeight="false" outlineLevel="0" collapsed="false">
      <c r="A100" s="38" t="s">
        <v>35</v>
      </c>
      <c r="B100" s="38" t="s">
        <v>185</v>
      </c>
      <c r="C100" s="38" t="s">
        <v>186</v>
      </c>
      <c r="D100" s="38" t="s">
        <v>21</v>
      </c>
      <c r="E100" s="38" t="s">
        <v>22</v>
      </c>
      <c r="F100" s="39" t="str">
        <f aca="false">INDEX('Plan Design'!$E$5:$E$34,MATCH($C100,'Plan Design'!$C$5:$C$34,0))</f>
        <v>Y</v>
      </c>
      <c r="G100" s="40" t="n">
        <f aca="false">INDEX('Plan Design'!$O$5:$R$34,MATCH($C100,'Plan Design'!$C$5:$C$34,0),MATCH($E100,'Plan Design'!$O$4:$R$4,0))</f>
        <v>1787</v>
      </c>
      <c r="H100" s="40" t="n">
        <f aca="false">INDEX(Assumptions!$C$10:$C$13,MATCH($E100,Assumptions!$B$10:$B$13,0))</f>
        <v>1000</v>
      </c>
      <c r="I100" s="40" t="n">
        <f aca="false">INDEX(Assumptions!$D$18:$D$20,MATCH($A100,Assumptions!$A$18:$A$20,0))</f>
        <v>269.5</v>
      </c>
      <c r="J100" s="41" t="n">
        <f aca="false">MIN($G100,MAX($H100,$I100))</f>
        <v>1000</v>
      </c>
      <c r="K100" s="41" t="n">
        <f aca="false">$G100-$J100</f>
        <v>787</v>
      </c>
      <c r="L100" s="42" t="n">
        <f aca="false">$J100*12</f>
        <v>12000</v>
      </c>
      <c r="M100" s="42" t="n">
        <f aca="false">$K100*12</f>
        <v>9444</v>
      </c>
      <c r="N100" s="43" t="n">
        <f aca="false">IF($G100=0,0,$J100/$G100)</f>
        <v>0.559597090095132</v>
      </c>
      <c r="O100" s="44" t="n">
        <f aca="false">IF($E100="EE",INDEX('Plan Design'!$F$5:$F$34,MATCH($C100,'Plan Design'!$C$5:$C$34,0)),INDEX('Plan Design'!$G$5:$G$34,MATCH($C100,'Plan Design'!$C$5:$C$34,0)))</f>
        <v>4000</v>
      </c>
      <c r="P100" s="44" t="n">
        <f aca="false">IF($E100="EE",INDEX('Plan Design'!$H$5:$H$34,MATCH($C100,'Plan Design'!$C$5:$C$34,0)),INDEX('Plan Design'!$I$5:$I$34,MATCH($C100,'Plan Design'!$C$5:$C$34,0)))</f>
        <v>7000</v>
      </c>
      <c r="Q100" s="45" t="n">
        <f aca="false">$M100+$P100</f>
        <v>16444</v>
      </c>
      <c r="R100" s="6" t="str">
        <f aca="false">$C100&amp;"|"&amp;$E100</f>
        <v>TriNet|Aetna HDHP 2000|FAM</v>
      </c>
    </row>
    <row r="101" customFormat="false" ht="15" hidden="false" customHeight="false" outlineLevel="0" collapsed="false">
      <c r="A101" s="11" t="s">
        <v>35</v>
      </c>
      <c r="B101" s="11" t="s">
        <v>189</v>
      </c>
      <c r="C101" s="11" t="s">
        <v>190</v>
      </c>
      <c r="D101" s="11" t="s">
        <v>12</v>
      </c>
      <c r="E101" s="11" t="s">
        <v>13</v>
      </c>
      <c r="F101" s="33" t="str">
        <f aca="false">INDEX('Plan Design'!$E$5:$E$34,MATCH($C101,'Plan Design'!$C$5:$C$34,0))</f>
        <v>N</v>
      </c>
      <c r="G101" s="34" t="n">
        <f aca="false">INDEX('Plan Design'!$O$5:$R$34,MATCH($C101,'Plan Design'!$C$5:$C$34,0),MATCH($E101,'Plan Design'!$O$4:$R$4,0))</f>
        <v>743</v>
      </c>
      <c r="H101" s="34" t="n">
        <f aca="false">INDEX(Assumptions!$C$10:$C$13,MATCH($E101,Assumptions!$B$10:$B$13,0))</f>
        <v>300</v>
      </c>
      <c r="I101" s="34" t="n">
        <f aca="false">INDEX(Assumptions!$D$18:$D$20,MATCH($A101,Assumptions!$A$18:$A$20,0))</f>
        <v>269.5</v>
      </c>
      <c r="J101" s="19" t="n">
        <f aca="false">MIN($G101,MAX($H101,$I101))</f>
        <v>300</v>
      </c>
      <c r="K101" s="19" t="n">
        <f aca="false">$G101-$J101</f>
        <v>443</v>
      </c>
      <c r="L101" s="14" t="n">
        <f aca="false">$J101*12</f>
        <v>3600</v>
      </c>
      <c r="M101" s="14" t="n">
        <f aca="false">$K101*12</f>
        <v>5316</v>
      </c>
      <c r="N101" s="35" t="n">
        <f aca="false">IF($G101=0,0,$J101/$G101)</f>
        <v>0.403768506056528</v>
      </c>
      <c r="O101" s="36" t="n">
        <f aca="false">IF($E101="EE",INDEX('Plan Design'!$F$5:$F$34,MATCH($C101,'Plan Design'!$C$5:$C$34,0)),INDEX('Plan Design'!$G$5:$G$34,MATCH($C101,'Plan Design'!$C$5:$C$34,0)))</f>
        <v>750</v>
      </c>
      <c r="P101" s="36" t="n">
        <f aca="false">IF($E101="EE",INDEX('Plan Design'!$H$5:$H$34,MATCH($C101,'Plan Design'!$C$5:$C$34,0)),INDEX('Plan Design'!$I$5:$I$34,MATCH($C101,'Plan Design'!$C$5:$C$34,0)))</f>
        <v>4000</v>
      </c>
      <c r="Q101" s="37" t="n">
        <f aca="false">$M101+$P101</f>
        <v>9316</v>
      </c>
      <c r="R101" s="6" t="str">
        <f aca="false">$C101&amp;"|"&amp;$E101</f>
        <v>TriNet|Aetna PPO 750|EE</v>
      </c>
    </row>
    <row r="102" customFormat="false" ht="15" hidden="false" customHeight="false" outlineLevel="0" collapsed="false">
      <c r="A102" s="38" t="s">
        <v>35</v>
      </c>
      <c r="B102" s="38" t="s">
        <v>189</v>
      </c>
      <c r="C102" s="38" t="s">
        <v>190</v>
      </c>
      <c r="D102" s="38" t="s">
        <v>15</v>
      </c>
      <c r="E102" s="38" t="s">
        <v>16</v>
      </c>
      <c r="F102" s="39" t="str">
        <f aca="false">INDEX('Plan Design'!$E$5:$E$34,MATCH($C102,'Plan Design'!$C$5:$C$34,0))</f>
        <v>N</v>
      </c>
      <c r="G102" s="40" t="n">
        <f aca="false">INDEX('Plan Design'!$O$5:$R$34,MATCH($C102,'Plan Design'!$C$5:$C$34,0),MATCH($E102,'Plan Design'!$O$4:$R$4,0))</f>
        <v>1717</v>
      </c>
      <c r="H102" s="40" t="n">
        <f aca="false">INDEX(Assumptions!$C$10:$C$13,MATCH($E102,Assumptions!$B$10:$B$13,0))</f>
        <v>600</v>
      </c>
      <c r="I102" s="40" t="n">
        <f aca="false">INDEX(Assumptions!$D$18:$D$20,MATCH($A102,Assumptions!$A$18:$A$20,0))</f>
        <v>269.5</v>
      </c>
      <c r="J102" s="41" t="n">
        <f aca="false">MIN($G102,MAX($H102,$I102))</f>
        <v>600</v>
      </c>
      <c r="K102" s="41" t="n">
        <f aca="false">$G102-$J102</f>
        <v>1117</v>
      </c>
      <c r="L102" s="42" t="n">
        <f aca="false">$J102*12</f>
        <v>7200</v>
      </c>
      <c r="M102" s="42" t="n">
        <f aca="false">$K102*12</f>
        <v>13404</v>
      </c>
      <c r="N102" s="43" t="n">
        <f aca="false">IF($G102=0,0,$J102/$G102)</f>
        <v>0.34944670937682</v>
      </c>
      <c r="O102" s="44" t="n">
        <f aca="false">IF($E102="EE",INDEX('Plan Design'!$F$5:$F$34,MATCH($C102,'Plan Design'!$C$5:$C$34,0)),INDEX('Plan Design'!$G$5:$G$34,MATCH($C102,'Plan Design'!$C$5:$C$34,0)))</f>
        <v>1500</v>
      </c>
      <c r="P102" s="44" t="n">
        <f aca="false">IF($E102="EE",INDEX('Plan Design'!$H$5:$H$34,MATCH($C102,'Plan Design'!$C$5:$C$34,0)),INDEX('Plan Design'!$I$5:$I$34,MATCH($C102,'Plan Design'!$C$5:$C$34,0)))</f>
        <v>8000</v>
      </c>
      <c r="Q102" s="45" t="n">
        <f aca="false">$M102+$P102</f>
        <v>21404</v>
      </c>
      <c r="R102" s="6" t="str">
        <f aca="false">$C102&amp;"|"&amp;$E102</f>
        <v>TriNet|Aetna PPO 750|ES</v>
      </c>
    </row>
    <row r="103" customFormat="false" ht="15" hidden="false" customHeight="false" outlineLevel="0" collapsed="false">
      <c r="A103" s="11" t="s">
        <v>35</v>
      </c>
      <c r="B103" s="11" t="s">
        <v>189</v>
      </c>
      <c r="C103" s="11" t="s">
        <v>190</v>
      </c>
      <c r="D103" s="11" t="s">
        <v>18</v>
      </c>
      <c r="E103" s="11" t="s">
        <v>19</v>
      </c>
      <c r="F103" s="33" t="str">
        <f aca="false">INDEX('Plan Design'!$E$5:$E$34,MATCH($C103,'Plan Design'!$C$5:$C$34,0))</f>
        <v>N</v>
      </c>
      <c r="G103" s="34" t="n">
        <f aca="false">INDEX('Plan Design'!$O$5:$R$34,MATCH($C103,'Plan Design'!$C$5:$C$34,0),MATCH($E103,'Plan Design'!$O$4:$R$4,0))</f>
        <v>1516</v>
      </c>
      <c r="H103" s="34" t="n">
        <f aca="false">INDEX(Assumptions!$C$10:$C$13,MATCH($E103,Assumptions!$B$10:$B$13,0))</f>
        <v>600</v>
      </c>
      <c r="I103" s="34" t="n">
        <f aca="false">INDEX(Assumptions!$D$18:$D$20,MATCH($A103,Assumptions!$A$18:$A$20,0))</f>
        <v>269.5</v>
      </c>
      <c r="J103" s="19" t="n">
        <f aca="false">MIN($G103,MAX($H103,$I103))</f>
        <v>600</v>
      </c>
      <c r="K103" s="19" t="n">
        <f aca="false">$G103-$J103</f>
        <v>916</v>
      </c>
      <c r="L103" s="14" t="n">
        <f aca="false">$J103*12</f>
        <v>7200</v>
      </c>
      <c r="M103" s="14" t="n">
        <f aca="false">$K103*12</f>
        <v>10992</v>
      </c>
      <c r="N103" s="35" t="n">
        <f aca="false">IF($G103=0,0,$J103/$G103)</f>
        <v>0.395778364116095</v>
      </c>
      <c r="O103" s="36" t="n">
        <f aca="false">IF($E103="EE",INDEX('Plan Design'!$F$5:$F$34,MATCH($C103,'Plan Design'!$C$5:$C$34,0)),INDEX('Plan Design'!$G$5:$G$34,MATCH($C103,'Plan Design'!$C$5:$C$34,0)))</f>
        <v>1500</v>
      </c>
      <c r="P103" s="36" t="n">
        <f aca="false">IF($E103="EE",INDEX('Plan Design'!$H$5:$H$34,MATCH($C103,'Plan Design'!$C$5:$C$34,0)),INDEX('Plan Design'!$I$5:$I$34,MATCH($C103,'Plan Design'!$C$5:$C$34,0)))</f>
        <v>8000</v>
      </c>
      <c r="Q103" s="37" t="n">
        <f aca="false">$M103+$P103</f>
        <v>18992</v>
      </c>
      <c r="R103" s="6" t="str">
        <f aca="false">$C103&amp;"|"&amp;$E103</f>
        <v>TriNet|Aetna PPO 750|EC</v>
      </c>
    </row>
    <row r="104" customFormat="false" ht="15" hidden="false" customHeight="false" outlineLevel="0" collapsed="false">
      <c r="A104" s="38" t="s">
        <v>35</v>
      </c>
      <c r="B104" s="38" t="s">
        <v>189</v>
      </c>
      <c r="C104" s="38" t="s">
        <v>190</v>
      </c>
      <c r="D104" s="38" t="s">
        <v>21</v>
      </c>
      <c r="E104" s="38" t="s">
        <v>22</v>
      </c>
      <c r="F104" s="39" t="str">
        <f aca="false">INDEX('Plan Design'!$E$5:$E$34,MATCH($C104,'Plan Design'!$C$5:$C$34,0))</f>
        <v>N</v>
      </c>
      <c r="G104" s="40" t="n">
        <f aca="false">INDEX('Plan Design'!$O$5:$R$34,MATCH($C104,'Plan Design'!$C$5:$C$34,0),MATCH($E104,'Plan Design'!$O$4:$R$4,0))</f>
        <v>2252</v>
      </c>
      <c r="H104" s="40" t="n">
        <f aca="false">INDEX(Assumptions!$C$10:$C$13,MATCH($E104,Assumptions!$B$10:$B$13,0))</f>
        <v>1000</v>
      </c>
      <c r="I104" s="40" t="n">
        <f aca="false">INDEX(Assumptions!$D$18:$D$20,MATCH($A104,Assumptions!$A$18:$A$20,0))</f>
        <v>269.5</v>
      </c>
      <c r="J104" s="41" t="n">
        <f aca="false">MIN($G104,MAX($H104,$I104))</f>
        <v>1000</v>
      </c>
      <c r="K104" s="41" t="n">
        <f aca="false">$G104-$J104</f>
        <v>1252</v>
      </c>
      <c r="L104" s="42" t="n">
        <f aca="false">$J104*12</f>
        <v>12000</v>
      </c>
      <c r="M104" s="42" t="n">
        <f aca="false">$K104*12</f>
        <v>15024</v>
      </c>
      <c r="N104" s="43" t="n">
        <f aca="false">IF($G104=0,0,$J104/$G104)</f>
        <v>0.44404973357016</v>
      </c>
      <c r="O104" s="44" t="n">
        <f aca="false">IF($E104="EE",INDEX('Plan Design'!$F$5:$F$34,MATCH($C104,'Plan Design'!$C$5:$C$34,0)),INDEX('Plan Design'!$G$5:$G$34,MATCH($C104,'Plan Design'!$C$5:$C$34,0)))</f>
        <v>1500</v>
      </c>
      <c r="P104" s="44" t="n">
        <f aca="false">IF($E104="EE",INDEX('Plan Design'!$H$5:$H$34,MATCH($C104,'Plan Design'!$C$5:$C$34,0)),INDEX('Plan Design'!$I$5:$I$34,MATCH($C104,'Plan Design'!$C$5:$C$34,0)))</f>
        <v>8000</v>
      </c>
      <c r="Q104" s="45" t="n">
        <f aca="false">$M104+$P104</f>
        <v>23024</v>
      </c>
      <c r="R104" s="6" t="str">
        <f aca="false">$C104&amp;"|"&amp;$E104</f>
        <v>TriNet|Aetna PPO 750|FAM</v>
      </c>
    </row>
    <row r="105" customFormat="false" ht="15" hidden="false" customHeight="false" outlineLevel="0" collapsed="false">
      <c r="A105" s="11" t="s">
        <v>35</v>
      </c>
      <c r="B105" s="11" t="s">
        <v>191</v>
      </c>
      <c r="C105" s="11" t="s">
        <v>192</v>
      </c>
      <c r="D105" s="11" t="s">
        <v>12</v>
      </c>
      <c r="E105" s="11" t="s">
        <v>13</v>
      </c>
      <c r="F105" s="33" t="str">
        <f aca="false">INDEX('Plan Design'!$E$5:$E$34,MATCH($C105,'Plan Design'!$C$5:$C$34,0))</f>
        <v>N</v>
      </c>
      <c r="G105" s="34" t="n">
        <f aca="false">INDEX('Plan Design'!$O$5:$R$34,MATCH($C105,'Plan Design'!$C$5:$C$34,0),MATCH($E105,'Plan Design'!$O$4:$R$4,0))</f>
        <v>794</v>
      </c>
      <c r="H105" s="34" t="n">
        <f aca="false">INDEX(Assumptions!$C$10:$C$13,MATCH($E105,Assumptions!$B$10:$B$13,0))</f>
        <v>300</v>
      </c>
      <c r="I105" s="34" t="n">
        <f aca="false">INDEX(Assumptions!$D$18:$D$20,MATCH($A105,Assumptions!$A$18:$A$20,0))</f>
        <v>269.5</v>
      </c>
      <c r="J105" s="19" t="n">
        <f aca="false">MIN($G105,MAX($H105,$I105))</f>
        <v>300</v>
      </c>
      <c r="K105" s="19" t="n">
        <f aca="false">$G105-$J105</f>
        <v>494</v>
      </c>
      <c r="L105" s="14" t="n">
        <f aca="false">$J105*12</f>
        <v>3600</v>
      </c>
      <c r="M105" s="14" t="n">
        <f aca="false">$K105*12</f>
        <v>5928</v>
      </c>
      <c r="N105" s="35" t="n">
        <f aca="false">IF($G105=0,0,$J105/$G105)</f>
        <v>0.377833753148615</v>
      </c>
      <c r="O105" s="36" t="n">
        <f aca="false">IF($E105="EE",INDEX('Plan Design'!$F$5:$F$34,MATCH($C105,'Plan Design'!$C$5:$C$34,0)),INDEX('Plan Design'!$G$5:$G$34,MATCH($C105,'Plan Design'!$C$5:$C$34,0)))</f>
        <v>0</v>
      </c>
      <c r="P105" s="36" t="n">
        <f aca="false">IF($E105="EE",INDEX('Plan Design'!$H$5:$H$34,MATCH($C105,'Plan Design'!$C$5:$C$34,0)),INDEX('Plan Design'!$I$5:$I$34,MATCH($C105,'Plan Design'!$C$5:$C$34,0)))</f>
        <v>3000</v>
      </c>
      <c r="Q105" s="37" t="n">
        <f aca="false">$M105+$P105</f>
        <v>8928</v>
      </c>
      <c r="R105" s="6" t="str">
        <f aca="false">$C105&amp;"|"&amp;$E105</f>
        <v>TriNet|Aetna EPO 0|EE</v>
      </c>
    </row>
    <row r="106" customFormat="false" ht="15" hidden="false" customHeight="false" outlineLevel="0" collapsed="false">
      <c r="A106" s="38" t="s">
        <v>35</v>
      </c>
      <c r="B106" s="38" t="s">
        <v>191</v>
      </c>
      <c r="C106" s="38" t="s">
        <v>192</v>
      </c>
      <c r="D106" s="38" t="s">
        <v>15</v>
      </c>
      <c r="E106" s="38" t="s">
        <v>16</v>
      </c>
      <c r="F106" s="39" t="str">
        <f aca="false">INDEX('Plan Design'!$E$5:$E$34,MATCH($C106,'Plan Design'!$C$5:$C$34,0))</f>
        <v>N</v>
      </c>
      <c r="G106" s="40" t="n">
        <f aca="false">INDEX('Plan Design'!$O$5:$R$34,MATCH($C106,'Plan Design'!$C$5:$C$34,0),MATCH($E106,'Plan Design'!$O$4:$R$4,0))</f>
        <v>1833</v>
      </c>
      <c r="H106" s="40" t="n">
        <f aca="false">INDEX(Assumptions!$C$10:$C$13,MATCH($E106,Assumptions!$B$10:$B$13,0))</f>
        <v>600</v>
      </c>
      <c r="I106" s="40" t="n">
        <f aca="false">INDEX(Assumptions!$D$18:$D$20,MATCH($A106,Assumptions!$A$18:$A$20,0))</f>
        <v>269.5</v>
      </c>
      <c r="J106" s="41" t="n">
        <f aca="false">MIN($G106,MAX($H106,$I106))</f>
        <v>600</v>
      </c>
      <c r="K106" s="41" t="n">
        <f aca="false">$G106-$J106</f>
        <v>1233</v>
      </c>
      <c r="L106" s="42" t="n">
        <f aca="false">$J106*12</f>
        <v>7200</v>
      </c>
      <c r="M106" s="42" t="n">
        <f aca="false">$K106*12</f>
        <v>14796</v>
      </c>
      <c r="N106" s="43" t="n">
        <f aca="false">IF($G106=0,0,$J106/$G106)</f>
        <v>0.327332242225859</v>
      </c>
      <c r="O106" s="44" t="n">
        <f aca="false">IF($E106="EE",INDEX('Plan Design'!$F$5:$F$34,MATCH($C106,'Plan Design'!$C$5:$C$34,0)),INDEX('Plan Design'!$G$5:$G$34,MATCH($C106,'Plan Design'!$C$5:$C$34,0)))</f>
        <v>0</v>
      </c>
      <c r="P106" s="44" t="n">
        <f aca="false">IF($E106="EE",INDEX('Plan Design'!$H$5:$H$34,MATCH($C106,'Plan Design'!$C$5:$C$34,0)),INDEX('Plan Design'!$I$5:$I$34,MATCH($C106,'Plan Design'!$C$5:$C$34,0)))</f>
        <v>6000</v>
      </c>
      <c r="Q106" s="45" t="n">
        <f aca="false">$M106+$P106</f>
        <v>20796</v>
      </c>
      <c r="R106" s="6" t="str">
        <f aca="false">$C106&amp;"|"&amp;$E106</f>
        <v>TriNet|Aetna EPO 0|ES</v>
      </c>
    </row>
    <row r="107" customFormat="false" ht="15" hidden="false" customHeight="false" outlineLevel="0" collapsed="false">
      <c r="A107" s="11" t="s">
        <v>35</v>
      </c>
      <c r="B107" s="11" t="s">
        <v>191</v>
      </c>
      <c r="C107" s="11" t="s">
        <v>192</v>
      </c>
      <c r="D107" s="11" t="s">
        <v>18</v>
      </c>
      <c r="E107" s="11" t="s">
        <v>19</v>
      </c>
      <c r="F107" s="33" t="str">
        <f aca="false">INDEX('Plan Design'!$E$5:$E$34,MATCH($C107,'Plan Design'!$C$5:$C$34,0))</f>
        <v>N</v>
      </c>
      <c r="G107" s="34" t="n">
        <f aca="false">INDEX('Plan Design'!$O$5:$R$34,MATCH($C107,'Plan Design'!$C$5:$C$34,0),MATCH($E107,'Plan Design'!$O$4:$R$4,0))</f>
        <v>1619</v>
      </c>
      <c r="H107" s="34" t="n">
        <f aca="false">INDEX(Assumptions!$C$10:$C$13,MATCH($E107,Assumptions!$B$10:$B$13,0))</f>
        <v>600</v>
      </c>
      <c r="I107" s="34" t="n">
        <f aca="false">INDEX(Assumptions!$D$18:$D$20,MATCH($A107,Assumptions!$A$18:$A$20,0))</f>
        <v>269.5</v>
      </c>
      <c r="J107" s="19" t="n">
        <f aca="false">MIN($G107,MAX($H107,$I107))</f>
        <v>600</v>
      </c>
      <c r="K107" s="19" t="n">
        <f aca="false">$G107-$J107</f>
        <v>1019</v>
      </c>
      <c r="L107" s="14" t="n">
        <f aca="false">$J107*12</f>
        <v>7200</v>
      </c>
      <c r="M107" s="14" t="n">
        <f aca="false">$K107*12</f>
        <v>12228</v>
      </c>
      <c r="N107" s="35" t="n">
        <f aca="false">IF($G107=0,0,$J107/$G107)</f>
        <v>0.370599135268684</v>
      </c>
      <c r="O107" s="36" t="n">
        <f aca="false">IF($E107="EE",INDEX('Plan Design'!$F$5:$F$34,MATCH($C107,'Plan Design'!$C$5:$C$34,0)),INDEX('Plan Design'!$G$5:$G$34,MATCH($C107,'Plan Design'!$C$5:$C$34,0)))</f>
        <v>0</v>
      </c>
      <c r="P107" s="36" t="n">
        <f aca="false">IF($E107="EE",INDEX('Plan Design'!$H$5:$H$34,MATCH($C107,'Plan Design'!$C$5:$C$34,0)),INDEX('Plan Design'!$I$5:$I$34,MATCH($C107,'Plan Design'!$C$5:$C$34,0)))</f>
        <v>6000</v>
      </c>
      <c r="Q107" s="37" t="n">
        <f aca="false">$M107+$P107</f>
        <v>18228</v>
      </c>
      <c r="R107" s="6" t="str">
        <f aca="false">$C107&amp;"|"&amp;$E107</f>
        <v>TriNet|Aetna EPO 0|EC</v>
      </c>
    </row>
    <row r="108" customFormat="false" ht="15" hidden="false" customHeight="false" outlineLevel="0" collapsed="false">
      <c r="A108" s="38" t="s">
        <v>35</v>
      </c>
      <c r="B108" s="38" t="s">
        <v>191</v>
      </c>
      <c r="C108" s="38" t="s">
        <v>192</v>
      </c>
      <c r="D108" s="38" t="s">
        <v>21</v>
      </c>
      <c r="E108" s="38" t="s">
        <v>22</v>
      </c>
      <c r="F108" s="39" t="str">
        <f aca="false">INDEX('Plan Design'!$E$5:$E$34,MATCH($C108,'Plan Design'!$C$5:$C$34,0))</f>
        <v>N</v>
      </c>
      <c r="G108" s="40" t="n">
        <f aca="false">INDEX('Plan Design'!$O$5:$R$34,MATCH($C108,'Plan Design'!$C$5:$C$34,0),MATCH($E108,'Plan Design'!$O$4:$R$4,0))</f>
        <v>2404</v>
      </c>
      <c r="H108" s="40" t="n">
        <f aca="false">INDEX(Assumptions!$C$10:$C$13,MATCH($E108,Assumptions!$B$10:$B$13,0))</f>
        <v>1000</v>
      </c>
      <c r="I108" s="40" t="n">
        <f aca="false">INDEX(Assumptions!$D$18:$D$20,MATCH($A108,Assumptions!$A$18:$A$20,0))</f>
        <v>269.5</v>
      </c>
      <c r="J108" s="41" t="n">
        <f aca="false">MIN($G108,MAX($H108,$I108))</f>
        <v>1000</v>
      </c>
      <c r="K108" s="41" t="n">
        <f aca="false">$G108-$J108</f>
        <v>1404</v>
      </c>
      <c r="L108" s="42" t="n">
        <f aca="false">$J108*12</f>
        <v>12000</v>
      </c>
      <c r="M108" s="42" t="n">
        <f aca="false">$K108*12</f>
        <v>16848</v>
      </c>
      <c r="N108" s="43" t="n">
        <f aca="false">IF($G108=0,0,$J108/$G108)</f>
        <v>0.415973377703827</v>
      </c>
      <c r="O108" s="44" t="n">
        <f aca="false">IF($E108="EE",INDEX('Plan Design'!$F$5:$F$34,MATCH($C108,'Plan Design'!$C$5:$C$34,0)),INDEX('Plan Design'!$G$5:$G$34,MATCH($C108,'Plan Design'!$C$5:$C$34,0)))</f>
        <v>0</v>
      </c>
      <c r="P108" s="44" t="n">
        <f aca="false">IF($E108="EE",INDEX('Plan Design'!$H$5:$H$34,MATCH($C108,'Plan Design'!$C$5:$C$34,0)),INDEX('Plan Design'!$I$5:$I$34,MATCH($C108,'Plan Design'!$C$5:$C$34,0)))</f>
        <v>6000</v>
      </c>
      <c r="Q108" s="45" t="n">
        <f aca="false">$M108+$P108</f>
        <v>22848</v>
      </c>
      <c r="R108" s="6" t="str">
        <f aca="false">$C108&amp;"|"&amp;$E108</f>
        <v>TriNet|Aetna EPO 0|FAM</v>
      </c>
    </row>
    <row r="109" customFormat="false" ht="15" hidden="false" customHeight="false" outlineLevel="0" collapsed="false">
      <c r="A109" s="11" t="s">
        <v>35</v>
      </c>
      <c r="B109" s="11" t="s">
        <v>194</v>
      </c>
      <c r="C109" s="11" t="s">
        <v>195</v>
      </c>
      <c r="D109" s="11" t="s">
        <v>12</v>
      </c>
      <c r="E109" s="11" t="s">
        <v>13</v>
      </c>
      <c r="F109" s="33" t="str">
        <f aca="false">INDEX('Plan Design'!$E$5:$E$34,MATCH($C109,'Plan Design'!$C$5:$C$34,0))</f>
        <v>N</v>
      </c>
      <c r="G109" s="34" t="n">
        <f aca="false">INDEX('Plan Design'!$O$5:$R$34,MATCH($C109,'Plan Design'!$C$5:$C$34,0),MATCH($E109,'Plan Design'!$O$4:$R$4,0))</f>
        <v>863</v>
      </c>
      <c r="H109" s="34" t="n">
        <f aca="false">INDEX(Assumptions!$C$10:$C$13,MATCH($E109,Assumptions!$B$10:$B$13,0))</f>
        <v>300</v>
      </c>
      <c r="I109" s="34" t="n">
        <f aca="false">INDEX(Assumptions!$D$18:$D$20,MATCH($A109,Assumptions!$A$18:$A$20,0))</f>
        <v>269.5</v>
      </c>
      <c r="J109" s="19" t="n">
        <f aca="false">MIN($G109,MAX($H109,$I109))</f>
        <v>300</v>
      </c>
      <c r="K109" s="19" t="n">
        <f aca="false">$G109-$J109</f>
        <v>563</v>
      </c>
      <c r="L109" s="14" t="n">
        <f aca="false">$J109*12</f>
        <v>3600</v>
      </c>
      <c r="M109" s="14" t="n">
        <f aca="false">$K109*12</f>
        <v>6756</v>
      </c>
      <c r="N109" s="35" t="n">
        <f aca="false">IF($G109=0,0,$J109/$G109)</f>
        <v>0.347624565469293</v>
      </c>
      <c r="O109" s="36" t="n">
        <f aca="false">IF($E109="EE",INDEX('Plan Design'!$F$5:$F$34,MATCH($C109,'Plan Design'!$C$5:$C$34,0)),INDEX('Plan Design'!$G$5:$G$34,MATCH($C109,'Plan Design'!$C$5:$C$34,0)))</f>
        <v>300</v>
      </c>
      <c r="P109" s="36" t="n">
        <f aca="false">IF($E109="EE",INDEX('Plan Design'!$H$5:$H$34,MATCH($C109,'Plan Design'!$C$5:$C$34,0)),INDEX('Plan Design'!$I$5:$I$34,MATCH($C109,'Plan Design'!$C$5:$C$34,0)))</f>
        <v>3000</v>
      </c>
      <c r="Q109" s="37" t="n">
        <f aca="false">$M109+$P109</f>
        <v>9756</v>
      </c>
      <c r="R109" s="6" t="str">
        <f aca="false">$C109&amp;"|"&amp;$E109</f>
        <v>TriNet|Aetna PPO 300|EE</v>
      </c>
    </row>
    <row r="110" customFormat="false" ht="15" hidden="false" customHeight="false" outlineLevel="0" collapsed="false">
      <c r="A110" s="38" t="s">
        <v>35</v>
      </c>
      <c r="B110" s="38" t="s">
        <v>194</v>
      </c>
      <c r="C110" s="38" t="s">
        <v>195</v>
      </c>
      <c r="D110" s="38" t="s">
        <v>15</v>
      </c>
      <c r="E110" s="38" t="s">
        <v>16</v>
      </c>
      <c r="F110" s="39" t="str">
        <f aca="false">INDEX('Plan Design'!$E$5:$E$34,MATCH($C110,'Plan Design'!$C$5:$C$34,0))</f>
        <v>N</v>
      </c>
      <c r="G110" s="40" t="n">
        <f aca="false">INDEX('Plan Design'!$O$5:$R$34,MATCH($C110,'Plan Design'!$C$5:$C$34,0),MATCH($E110,'Plan Design'!$O$4:$R$4,0))</f>
        <v>1993</v>
      </c>
      <c r="H110" s="40" t="n">
        <f aca="false">INDEX(Assumptions!$C$10:$C$13,MATCH($E110,Assumptions!$B$10:$B$13,0))</f>
        <v>600</v>
      </c>
      <c r="I110" s="40" t="n">
        <f aca="false">INDEX(Assumptions!$D$18:$D$20,MATCH($A110,Assumptions!$A$18:$A$20,0))</f>
        <v>269.5</v>
      </c>
      <c r="J110" s="41" t="n">
        <f aca="false">MIN($G110,MAX($H110,$I110))</f>
        <v>600</v>
      </c>
      <c r="K110" s="41" t="n">
        <f aca="false">$G110-$J110</f>
        <v>1393</v>
      </c>
      <c r="L110" s="42" t="n">
        <f aca="false">$J110*12</f>
        <v>7200</v>
      </c>
      <c r="M110" s="42" t="n">
        <f aca="false">$K110*12</f>
        <v>16716</v>
      </c>
      <c r="N110" s="43" t="n">
        <f aca="false">IF($G110=0,0,$J110/$G110)</f>
        <v>0.301053687907677</v>
      </c>
      <c r="O110" s="44" t="n">
        <f aca="false">IF($E110="EE",INDEX('Plan Design'!$F$5:$F$34,MATCH($C110,'Plan Design'!$C$5:$C$34,0)),INDEX('Plan Design'!$G$5:$G$34,MATCH($C110,'Plan Design'!$C$5:$C$34,0)))</f>
        <v>600</v>
      </c>
      <c r="P110" s="44" t="n">
        <f aca="false">IF($E110="EE",INDEX('Plan Design'!$H$5:$H$34,MATCH($C110,'Plan Design'!$C$5:$C$34,0)),INDEX('Plan Design'!$I$5:$I$34,MATCH($C110,'Plan Design'!$C$5:$C$34,0)))</f>
        <v>6000</v>
      </c>
      <c r="Q110" s="45" t="n">
        <f aca="false">$M110+$P110</f>
        <v>22716</v>
      </c>
      <c r="R110" s="6" t="str">
        <f aca="false">$C110&amp;"|"&amp;$E110</f>
        <v>TriNet|Aetna PPO 300|ES</v>
      </c>
    </row>
    <row r="111" customFormat="false" ht="15" hidden="false" customHeight="false" outlineLevel="0" collapsed="false">
      <c r="A111" s="11" t="s">
        <v>35</v>
      </c>
      <c r="B111" s="11" t="s">
        <v>194</v>
      </c>
      <c r="C111" s="11" t="s">
        <v>195</v>
      </c>
      <c r="D111" s="11" t="s">
        <v>18</v>
      </c>
      <c r="E111" s="11" t="s">
        <v>19</v>
      </c>
      <c r="F111" s="33" t="str">
        <f aca="false">INDEX('Plan Design'!$E$5:$E$34,MATCH($C111,'Plan Design'!$C$5:$C$34,0))</f>
        <v>N</v>
      </c>
      <c r="G111" s="34" t="n">
        <f aca="false">INDEX('Plan Design'!$O$5:$R$34,MATCH($C111,'Plan Design'!$C$5:$C$34,0),MATCH($E111,'Plan Design'!$O$4:$R$4,0))</f>
        <v>1760</v>
      </c>
      <c r="H111" s="34" t="n">
        <f aca="false">INDEX(Assumptions!$C$10:$C$13,MATCH($E111,Assumptions!$B$10:$B$13,0))</f>
        <v>600</v>
      </c>
      <c r="I111" s="34" t="n">
        <f aca="false">INDEX(Assumptions!$D$18:$D$20,MATCH($A111,Assumptions!$A$18:$A$20,0))</f>
        <v>269.5</v>
      </c>
      <c r="J111" s="19" t="n">
        <f aca="false">MIN($G111,MAX($H111,$I111))</f>
        <v>600</v>
      </c>
      <c r="K111" s="19" t="n">
        <f aca="false">$G111-$J111</f>
        <v>1160</v>
      </c>
      <c r="L111" s="14" t="n">
        <f aca="false">$J111*12</f>
        <v>7200</v>
      </c>
      <c r="M111" s="14" t="n">
        <f aca="false">$K111*12</f>
        <v>13920</v>
      </c>
      <c r="N111" s="35" t="n">
        <f aca="false">IF($G111=0,0,$J111/$G111)</f>
        <v>0.340909090909091</v>
      </c>
      <c r="O111" s="36" t="n">
        <f aca="false">IF($E111="EE",INDEX('Plan Design'!$F$5:$F$34,MATCH($C111,'Plan Design'!$C$5:$C$34,0)),INDEX('Plan Design'!$G$5:$G$34,MATCH($C111,'Plan Design'!$C$5:$C$34,0)))</f>
        <v>600</v>
      </c>
      <c r="P111" s="36" t="n">
        <f aca="false">IF($E111="EE",INDEX('Plan Design'!$H$5:$H$34,MATCH($C111,'Plan Design'!$C$5:$C$34,0)),INDEX('Plan Design'!$I$5:$I$34,MATCH($C111,'Plan Design'!$C$5:$C$34,0)))</f>
        <v>6000</v>
      </c>
      <c r="Q111" s="37" t="n">
        <f aca="false">$M111+$P111</f>
        <v>19920</v>
      </c>
      <c r="R111" s="6" t="str">
        <f aca="false">$C111&amp;"|"&amp;$E111</f>
        <v>TriNet|Aetna PPO 300|EC</v>
      </c>
    </row>
    <row r="112" customFormat="false" ht="15" hidden="false" customHeight="false" outlineLevel="0" collapsed="false">
      <c r="A112" s="38" t="s">
        <v>35</v>
      </c>
      <c r="B112" s="38" t="s">
        <v>194</v>
      </c>
      <c r="C112" s="38" t="s">
        <v>195</v>
      </c>
      <c r="D112" s="38" t="s">
        <v>21</v>
      </c>
      <c r="E112" s="38" t="s">
        <v>22</v>
      </c>
      <c r="F112" s="39" t="str">
        <f aca="false">INDEX('Plan Design'!$E$5:$E$34,MATCH($C112,'Plan Design'!$C$5:$C$34,0))</f>
        <v>N</v>
      </c>
      <c r="G112" s="40" t="n">
        <f aca="false">INDEX('Plan Design'!$O$5:$R$34,MATCH($C112,'Plan Design'!$C$5:$C$34,0),MATCH($E112,'Plan Design'!$O$4:$R$4,0))</f>
        <v>2614</v>
      </c>
      <c r="H112" s="40" t="n">
        <f aca="false">INDEX(Assumptions!$C$10:$C$13,MATCH($E112,Assumptions!$B$10:$B$13,0))</f>
        <v>1000</v>
      </c>
      <c r="I112" s="40" t="n">
        <f aca="false">INDEX(Assumptions!$D$18:$D$20,MATCH($A112,Assumptions!$A$18:$A$20,0))</f>
        <v>269.5</v>
      </c>
      <c r="J112" s="41" t="n">
        <f aca="false">MIN($G112,MAX($H112,$I112))</f>
        <v>1000</v>
      </c>
      <c r="K112" s="41" t="n">
        <f aca="false">$G112-$J112</f>
        <v>1614</v>
      </c>
      <c r="L112" s="42" t="n">
        <f aca="false">$J112*12</f>
        <v>12000</v>
      </c>
      <c r="M112" s="42" t="n">
        <f aca="false">$K112*12</f>
        <v>19368</v>
      </c>
      <c r="N112" s="43" t="n">
        <f aca="false">IF($G112=0,0,$J112/$G112)</f>
        <v>0.382555470543229</v>
      </c>
      <c r="O112" s="44" t="n">
        <f aca="false">IF($E112="EE",INDEX('Plan Design'!$F$5:$F$34,MATCH($C112,'Plan Design'!$C$5:$C$34,0)),INDEX('Plan Design'!$G$5:$G$34,MATCH($C112,'Plan Design'!$C$5:$C$34,0)))</f>
        <v>600</v>
      </c>
      <c r="P112" s="44" t="n">
        <f aca="false">IF($E112="EE",INDEX('Plan Design'!$H$5:$H$34,MATCH($C112,'Plan Design'!$C$5:$C$34,0)),INDEX('Plan Design'!$I$5:$I$34,MATCH($C112,'Plan Design'!$C$5:$C$34,0)))</f>
        <v>6000</v>
      </c>
      <c r="Q112" s="45" t="n">
        <f aca="false">$M112+$P112</f>
        <v>25368</v>
      </c>
      <c r="R112" s="6" t="str">
        <f aca="false">$C112&amp;"|"&amp;$E112</f>
        <v>TriNet|Aetna PPO 300|FAM</v>
      </c>
    </row>
    <row r="113" customFormat="false" ht="15" hidden="false" customHeight="false" outlineLevel="0" collapsed="false">
      <c r="A113" s="11" t="s">
        <v>38</v>
      </c>
      <c r="B113" s="11" t="s">
        <v>39</v>
      </c>
      <c r="C113" s="11" t="s">
        <v>196</v>
      </c>
      <c r="D113" s="11" t="s">
        <v>12</v>
      </c>
      <c r="E113" s="11" t="s">
        <v>13</v>
      </c>
      <c r="F113" s="33" t="str">
        <f aca="false">INDEX('Plan Design'!$E$5:$E$34,MATCH($C113,'Plan Design'!$C$5:$C$34,0))</f>
        <v>Y</v>
      </c>
      <c r="G113" s="34" t="n">
        <f aca="false">INDEX('Plan Design'!$O$5:$R$34,MATCH($C113,'Plan Design'!$C$5:$C$34,0),MATCH($E113,'Plan Design'!$O$4:$R$4,0))</f>
        <v>439.03</v>
      </c>
      <c r="H113" s="34" t="n">
        <f aca="false">INDEX(Assumptions!$C$10:$C$13,MATCH($E113,Assumptions!$B$10:$B$13,0))</f>
        <v>300</v>
      </c>
      <c r="I113" s="34" t="n">
        <f aca="false">INDEX(Assumptions!$D$18:$D$20,MATCH($A113,Assumptions!$A$18:$A$20,0))</f>
        <v>219.515</v>
      </c>
      <c r="J113" s="19" t="n">
        <f aca="false">MIN($G113,MAX($H113,$I113))</f>
        <v>300</v>
      </c>
      <c r="K113" s="19" t="n">
        <f aca="false">$G113-$J113</f>
        <v>139.03</v>
      </c>
      <c r="L113" s="14" t="n">
        <f aca="false">$J113*12</f>
        <v>3600</v>
      </c>
      <c r="M113" s="14" t="n">
        <f aca="false">$K113*12</f>
        <v>1668.36</v>
      </c>
      <c r="N113" s="35" t="n">
        <f aca="false">IF($G113=0,0,$J113/$G113)</f>
        <v>0.683324601963419</v>
      </c>
      <c r="O113" s="36" t="n">
        <f aca="false">IF($E113="EE",INDEX('Plan Design'!$F$5:$F$34,MATCH($C113,'Plan Design'!$C$5:$C$34,0)),INDEX('Plan Design'!$G$5:$G$34,MATCH($C113,'Plan Design'!$C$5:$C$34,0)))</f>
        <v>3400</v>
      </c>
      <c r="P113" s="36" t="n">
        <f aca="false">IF($E113="EE",INDEX('Plan Design'!$H$5:$H$34,MATCH($C113,'Plan Design'!$C$5:$C$34,0)),INDEX('Plan Design'!$I$5:$I$34,MATCH($C113,'Plan Design'!$C$5:$C$34,0)))</f>
        <v>5000</v>
      </c>
      <c r="Q113" s="37" t="n">
        <f aca="false">$M113+$P113</f>
        <v>6668.36</v>
      </c>
      <c r="R113" s="6" t="str">
        <f aca="false">$C113&amp;"|"&amp;$E113</f>
        <v>Angle|ANG HDHP 3400/5000|EE</v>
      </c>
    </row>
    <row r="114" customFormat="false" ht="15" hidden="false" customHeight="false" outlineLevel="0" collapsed="false">
      <c r="A114" s="38" t="s">
        <v>38</v>
      </c>
      <c r="B114" s="38" t="s">
        <v>39</v>
      </c>
      <c r="C114" s="38" t="s">
        <v>196</v>
      </c>
      <c r="D114" s="38" t="s">
        <v>15</v>
      </c>
      <c r="E114" s="38" t="s">
        <v>16</v>
      </c>
      <c r="F114" s="39" t="str">
        <f aca="false">INDEX('Plan Design'!$E$5:$E$34,MATCH($C114,'Plan Design'!$C$5:$C$34,0))</f>
        <v>Y</v>
      </c>
      <c r="G114" s="40" t="n">
        <f aca="false">INDEX('Plan Design'!$O$5:$R$34,MATCH($C114,'Plan Design'!$C$5:$C$34,0),MATCH($E114,'Plan Design'!$O$4:$R$4,0))</f>
        <v>921.97</v>
      </c>
      <c r="H114" s="40" t="n">
        <f aca="false">INDEX(Assumptions!$C$10:$C$13,MATCH($E114,Assumptions!$B$10:$B$13,0))</f>
        <v>600</v>
      </c>
      <c r="I114" s="40" t="n">
        <f aca="false">INDEX(Assumptions!$D$18:$D$20,MATCH($A114,Assumptions!$A$18:$A$20,0))</f>
        <v>219.515</v>
      </c>
      <c r="J114" s="41" t="n">
        <f aca="false">MIN($G114,MAX($H114,$I114))</f>
        <v>600</v>
      </c>
      <c r="K114" s="41" t="n">
        <f aca="false">$G114-$J114</f>
        <v>321.97</v>
      </c>
      <c r="L114" s="42" t="n">
        <f aca="false">$J114*12</f>
        <v>7200</v>
      </c>
      <c r="M114" s="42" t="n">
        <f aca="false">$K114*12</f>
        <v>3863.64</v>
      </c>
      <c r="N114" s="43" t="n">
        <f aca="false">IF($G114=0,0,$J114/$G114)</f>
        <v>0.650780394155992</v>
      </c>
      <c r="O114" s="44" t="n">
        <f aca="false">IF($E114="EE",INDEX('Plan Design'!$F$5:$F$34,MATCH($C114,'Plan Design'!$C$5:$C$34,0)),INDEX('Plan Design'!$G$5:$G$34,MATCH($C114,'Plan Design'!$C$5:$C$34,0)))</f>
        <v>6800</v>
      </c>
      <c r="P114" s="44" t="n">
        <f aca="false">IF($E114="EE",INDEX('Plan Design'!$H$5:$H$34,MATCH($C114,'Plan Design'!$C$5:$C$34,0)),INDEX('Plan Design'!$I$5:$I$34,MATCH($C114,'Plan Design'!$C$5:$C$34,0)))</f>
        <v>10000</v>
      </c>
      <c r="Q114" s="45" t="n">
        <f aca="false">$M114+$P114</f>
        <v>13863.64</v>
      </c>
      <c r="R114" s="6" t="str">
        <f aca="false">$C114&amp;"|"&amp;$E114</f>
        <v>Angle|ANG HDHP 3400/5000|ES</v>
      </c>
    </row>
    <row r="115" customFormat="false" ht="15" hidden="false" customHeight="false" outlineLevel="0" collapsed="false">
      <c r="A115" s="11" t="s">
        <v>38</v>
      </c>
      <c r="B115" s="11" t="s">
        <v>39</v>
      </c>
      <c r="C115" s="11" t="s">
        <v>196</v>
      </c>
      <c r="D115" s="11" t="s">
        <v>18</v>
      </c>
      <c r="E115" s="11" t="s">
        <v>19</v>
      </c>
      <c r="F115" s="33" t="str">
        <f aca="false">INDEX('Plan Design'!$E$5:$E$34,MATCH($C115,'Plan Design'!$C$5:$C$34,0))</f>
        <v>Y</v>
      </c>
      <c r="G115" s="34" t="n">
        <f aca="false">INDEX('Plan Design'!$O$5:$R$34,MATCH($C115,'Plan Design'!$C$5:$C$34,0),MATCH($E115,'Plan Design'!$O$4:$R$4,0))</f>
        <v>834.16</v>
      </c>
      <c r="H115" s="34" t="n">
        <f aca="false">INDEX(Assumptions!$C$10:$C$13,MATCH($E115,Assumptions!$B$10:$B$13,0))</f>
        <v>600</v>
      </c>
      <c r="I115" s="34" t="n">
        <f aca="false">INDEX(Assumptions!$D$18:$D$20,MATCH($A115,Assumptions!$A$18:$A$20,0))</f>
        <v>219.515</v>
      </c>
      <c r="J115" s="19" t="n">
        <f aca="false">MIN($G115,MAX($H115,$I115))</f>
        <v>600</v>
      </c>
      <c r="K115" s="19" t="n">
        <f aca="false">$G115-$J115</f>
        <v>234.16</v>
      </c>
      <c r="L115" s="14" t="n">
        <f aca="false">$J115*12</f>
        <v>7200</v>
      </c>
      <c r="M115" s="14" t="n">
        <f aca="false">$K115*12</f>
        <v>2809.92</v>
      </c>
      <c r="N115" s="35" t="n">
        <f aca="false">IF($G115=0,0,$J115/$G115)</f>
        <v>0.719286467823919</v>
      </c>
      <c r="O115" s="36" t="n">
        <f aca="false">IF($E115="EE",INDEX('Plan Design'!$F$5:$F$34,MATCH($C115,'Plan Design'!$C$5:$C$34,0)),INDEX('Plan Design'!$G$5:$G$34,MATCH($C115,'Plan Design'!$C$5:$C$34,0)))</f>
        <v>6800</v>
      </c>
      <c r="P115" s="36" t="n">
        <f aca="false">IF($E115="EE",INDEX('Plan Design'!$H$5:$H$34,MATCH($C115,'Plan Design'!$C$5:$C$34,0)),INDEX('Plan Design'!$I$5:$I$34,MATCH($C115,'Plan Design'!$C$5:$C$34,0)))</f>
        <v>10000</v>
      </c>
      <c r="Q115" s="37" t="n">
        <f aca="false">$M115+$P115</f>
        <v>12809.92</v>
      </c>
      <c r="R115" s="6" t="str">
        <f aca="false">$C115&amp;"|"&amp;$E115</f>
        <v>Angle|ANG HDHP 3400/5000|EC</v>
      </c>
    </row>
    <row r="116" customFormat="false" ht="15" hidden="false" customHeight="false" outlineLevel="0" collapsed="false">
      <c r="A116" s="38" t="s">
        <v>38</v>
      </c>
      <c r="B116" s="38" t="s">
        <v>39</v>
      </c>
      <c r="C116" s="38" t="s">
        <v>196</v>
      </c>
      <c r="D116" s="38" t="s">
        <v>21</v>
      </c>
      <c r="E116" s="38" t="s">
        <v>22</v>
      </c>
      <c r="F116" s="39" t="str">
        <f aca="false">INDEX('Plan Design'!$E$5:$E$34,MATCH($C116,'Plan Design'!$C$5:$C$34,0))</f>
        <v>Y</v>
      </c>
      <c r="G116" s="40" t="n">
        <f aca="false">INDEX('Plan Design'!$O$5:$R$34,MATCH($C116,'Plan Design'!$C$5:$C$34,0),MATCH($E116,'Plan Design'!$O$4:$R$4,0))</f>
        <v>1361</v>
      </c>
      <c r="H116" s="40" t="n">
        <f aca="false">INDEX(Assumptions!$C$10:$C$13,MATCH($E116,Assumptions!$B$10:$B$13,0))</f>
        <v>1000</v>
      </c>
      <c r="I116" s="40" t="n">
        <f aca="false">INDEX(Assumptions!$D$18:$D$20,MATCH($A116,Assumptions!$A$18:$A$20,0))</f>
        <v>219.515</v>
      </c>
      <c r="J116" s="41" t="n">
        <f aca="false">MIN($G116,MAX($H116,$I116))</f>
        <v>1000</v>
      </c>
      <c r="K116" s="41" t="n">
        <f aca="false">$G116-$J116</f>
        <v>361</v>
      </c>
      <c r="L116" s="42" t="n">
        <f aca="false">$J116*12</f>
        <v>12000</v>
      </c>
      <c r="M116" s="42" t="n">
        <f aca="false">$K116*12</f>
        <v>4332</v>
      </c>
      <c r="N116" s="43" t="n">
        <f aca="false">IF($G116=0,0,$J116/$G116)</f>
        <v>0.734753857457752</v>
      </c>
      <c r="O116" s="44" t="n">
        <f aca="false">IF($E116="EE",INDEX('Plan Design'!$F$5:$F$34,MATCH($C116,'Plan Design'!$C$5:$C$34,0)),INDEX('Plan Design'!$G$5:$G$34,MATCH($C116,'Plan Design'!$C$5:$C$34,0)))</f>
        <v>6800</v>
      </c>
      <c r="P116" s="44" t="n">
        <f aca="false">IF($E116="EE",INDEX('Plan Design'!$H$5:$H$34,MATCH($C116,'Plan Design'!$C$5:$C$34,0)),INDEX('Plan Design'!$I$5:$I$34,MATCH($C116,'Plan Design'!$C$5:$C$34,0)))</f>
        <v>10000</v>
      </c>
      <c r="Q116" s="45" t="n">
        <f aca="false">$M116+$P116</f>
        <v>14332</v>
      </c>
      <c r="R116" s="6" t="str">
        <f aca="false">$C116&amp;"|"&amp;$E116</f>
        <v>Angle|ANG HDHP 3400/5000|FAM</v>
      </c>
    </row>
    <row r="117" customFormat="false" ht="15" hidden="false" customHeight="false" outlineLevel="0" collapsed="false">
      <c r="A117" s="11" t="s">
        <v>38</v>
      </c>
      <c r="B117" s="11" t="s">
        <v>199</v>
      </c>
      <c r="C117" s="11" t="s">
        <v>200</v>
      </c>
      <c r="D117" s="11" t="s">
        <v>12</v>
      </c>
      <c r="E117" s="11" t="s">
        <v>13</v>
      </c>
      <c r="F117" s="33" t="str">
        <f aca="false">INDEX('Plan Design'!$E$5:$E$34,MATCH($C117,'Plan Design'!$C$5:$C$34,0))</f>
        <v>N</v>
      </c>
      <c r="G117" s="34" t="n">
        <f aca="false">INDEX('Plan Design'!$O$5:$R$34,MATCH($C117,'Plan Design'!$C$5:$C$34,0),MATCH($E117,'Plan Design'!$O$4:$R$4,0))</f>
        <v>492.11</v>
      </c>
      <c r="H117" s="34" t="n">
        <f aca="false">INDEX(Assumptions!$C$10:$C$13,MATCH($E117,Assumptions!$B$10:$B$13,0))</f>
        <v>300</v>
      </c>
      <c r="I117" s="34" t="n">
        <f aca="false">INDEX(Assumptions!$D$18:$D$20,MATCH($A117,Assumptions!$A$18:$A$20,0))</f>
        <v>219.515</v>
      </c>
      <c r="J117" s="19" t="n">
        <f aca="false">MIN($G117,MAX($H117,$I117))</f>
        <v>300</v>
      </c>
      <c r="K117" s="19" t="n">
        <f aca="false">$G117-$J117</f>
        <v>192.11</v>
      </c>
      <c r="L117" s="14" t="n">
        <f aca="false">$J117*12</f>
        <v>3600</v>
      </c>
      <c r="M117" s="14" t="n">
        <f aca="false">$K117*12</f>
        <v>2305.32</v>
      </c>
      <c r="N117" s="35" t="n">
        <f aca="false">IF($G117=0,0,$J117/$G117)</f>
        <v>0.609619800451119</v>
      </c>
      <c r="O117" s="36" t="n">
        <f aca="false">IF($E117="EE",INDEX('Plan Design'!$F$5:$F$34,MATCH($C117,'Plan Design'!$C$5:$C$34,0)),INDEX('Plan Design'!$G$5:$G$34,MATCH($C117,'Plan Design'!$C$5:$C$34,0)))</f>
        <v>2000</v>
      </c>
      <c r="P117" s="36" t="n">
        <f aca="false">IF($E117="EE",INDEX('Plan Design'!$H$5:$H$34,MATCH($C117,'Plan Design'!$C$5:$C$34,0)),INDEX('Plan Design'!$I$5:$I$34,MATCH($C117,'Plan Design'!$C$5:$C$34,0)))</f>
        <v>4000</v>
      </c>
      <c r="Q117" s="37" t="n">
        <f aca="false">$M117+$P117</f>
        <v>6305.32</v>
      </c>
      <c r="R117" s="6" t="str">
        <f aca="false">$C117&amp;"|"&amp;$E117</f>
        <v>Angle|ANG TRAD 2000/4000|EE</v>
      </c>
    </row>
    <row r="118" customFormat="false" ht="15" hidden="false" customHeight="false" outlineLevel="0" collapsed="false">
      <c r="A118" s="38" t="s">
        <v>38</v>
      </c>
      <c r="B118" s="38" t="s">
        <v>199</v>
      </c>
      <c r="C118" s="38" t="s">
        <v>200</v>
      </c>
      <c r="D118" s="38" t="s">
        <v>15</v>
      </c>
      <c r="E118" s="38" t="s">
        <v>16</v>
      </c>
      <c r="F118" s="39" t="str">
        <f aca="false">INDEX('Plan Design'!$E$5:$E$34,MATCH($C118,'Plan Design'!$C$5:$C$34,0))</f>
        <v>N</v>
      </c>
      <c r="G118" s="40" t="n">
        <f aca="false">INDEX('Plan Design'!$O$5:$R$34,MATCH($C118,'Plan Design'!$C$5:$C$34,0),MATCH($E118,'Plan Design'!$O$4:$R$4,0))</f>
        <v>1033.43</v>
      </c>
      <c r="H118" s="40" t="n">
        <f aca="false">INDEX(Assumptions!$C$10:$C$13,MATCH($E118,Assumptions!$B$10:$B$13,0))</f>
        <v>600</v>
      </c>
      <c r="I118" s="40" t="n">
        <f aca="false">INDEX(Assumptions!$D$18:$D$20,MATCH($A118,Assumptions!$A$18:$A$20,0))</f>
        <v>219.515</v>
      </c>
      <c r="J118" s="41" t="n">
        <f aca="false">MIN($G118,MAX($H118,$I118))</f>
        <v>600</v>
      </c>
      <c r="K118" s="41" t="n">
        <f aca="false">$G118-$J118</f>
        <v>433.43</v>
      </c>
      <c r="L118" s="42" t="n">
        <f aca="false">$J118*12</f>
        <v>7200</v>
      </c>
      <c r="M118" s="42" t="n">
        <f aca="false">$K118*12</f>
        <v>5201.16</v>
      </c>
      <c r="N118" s="43" t="n">
        <f aca="false">IF($G118=0,0,$J118/$G118)</f>
        <v>0.580590847952933</v>
      </c>
      <c r="O118" s="44" t="n">
        <f aca="false">IF($E118="EE",INDEX('Plan Design'!$F$5:$F$34,MATCH($C118,'Plan Design'!$C$5:$C$34,0)),INDEX('Plan Design'!$G$5:$G$34,MATCH($C118,'Plan Design'!$C$5:$C$34,0)))</f>
        <v>4000</v>
      </c>
      <c r="P118" s="44" t="n">
        <f aca="false">IF($E118="EE",INDEX('Plan Design'!$H$5:$H$34,MATCH($C118,'Plan Design'!$C$5:$C$34,0)),INDEX('Plan Design'!$I$5:$I$34,MATCH($C118,'Plan Design'!$C$5:$C$34,0)))</f>
        <v>8000</v>
      </c>
      <c r="Q118" s="45" t="n">
        <f aca="false">$M118+$P118</f>
        <v>13201.16</v>
      </c>
      <c r="R118" s="6" t="str">
        <f aca="false">$C118&amp;"|"&amp;$E118</f>
        <v>Angle|ANG TRAD 2000/4000|ES</v>
      </c>
    </row>
    <row r="119" customFormat="false" ht="15" hidden="false" customHeight="false" outlineLevel="0" collapsed="false">
      <c r="A119" s="11" t="s">
        <v>38</v>
      </c>
      <c r="B119" s="11" t="s">
        <v>199</v>
      </c>
      <c r="C119" s="11" t="s">
        <v>200</v>
      </c>
      <c r="D119" s="11" t="s">
        <v>18</v>
      </c>
      <c r="E119" s="11" t="s">
        <v>19</v>
      </c>
      <c r="F119" s="33" t="str">
        <f aca="false">INDEX('Plan Design'!$E$5:$E$34,MATCH($C119,'Plan Design'!$C$5:$C$34,0))</f>
        <v>N</v>
      </c>
      <c r="G119" s="34" t="n">
        <f aca="false">INDEX('Plan Design'!$O$5:$R$34,MATCH($C119,'Plan Design'!$C$5:$C$34,0),MATCH($E119,'Plan Design'!$O$4:$R$4,0))</f>
        <v>934.01</v>
      </c>
      <c r="H119" s="34" t="n">
        <f aca="false">INDEX(Assumptions!$C$10:$C$13,MATCH($E119,Assumptions!$B$10:$B$13,0))</f>
        <v>600</v>
      </c>
      <c r="I119" s="34" t="n">
        <f aca="false">INDEX(Assumptions!$D$18:$D$20,MATCH($A119,Assumptions!$A$18:$A$20,0))</f>
        <v>219.515</v>
      </c>
      <c r="J119" s="19" t="n">
        <f aca="false">MIN($G119,MAX($H119,$I119))</f>
        <v>600</v>
      </c>
      <c r="K119" s="19" t="n">
        <f aca="false">$G119-$J119</f>
        <v>334.01</v>
      </c>
      <c r="L119" s="14" t="n">
        <f aca="false">$J119*12</f>
        <v>7200</v>
      </c>
      <c r="M119" s="14" t="n">
        <f aca="false">$K119*12</f>
        <v>4008.12</v>
      </c>
      <c r="N119" s="35" t="n">
        <f aca="false">IF($G119=0,0,$J119/$G119)</f>
        <v>0.642391409085556</v>
      </c>
      <c r="O119" s="36" t="n">
        <f aca="false">IF($E119="EE",INDEX('Plan Design'!$F$5:$F$34,MATCH($C119,'Plan Design'!$C$5:$C$34,0)),INDEX('Plan Design'!$G$5:$G$34,MATCH($C119,'Plan Design'!$C$5:$C$34,0)))</f>
        <v>4000</v>
      </c>
      <c r="P119" s="36" t="n">
        <f aca="false">IF($E119="EE",INDEX('Plan Design'!$H$5:$H$34,MATCH($C119,'Plan Design'!$C$5:$C$34,0)),INDEX('Plan Design'!$I$5:$I$34,MATCH($C119,'Plan Design'!$C$5:$C$34,0)))</f>
        <v>8000</v>
      </c>
      <c r="Q119" s="37" t="n">
        <f aca="false">$M119+$P119</f>
        <v>12008.12</v>
      </c>
      <c r="R119" s="6" t="str">
        <f aca="false">$C119&amp;"|"&amp;$E119</f>
        <v>Angle|ANG TRAD 2000/4000|EC</v>
      </c>
    </row>
    <row r="120" customFormat="false" ht="15" hidden="false" customHeight="false" outlineLevel="0" collapsed="false">
      <c r="A120" s="38" t="s">
        <v>38</v>
      </c>
      <c r="B120" s="38" t="s">
        <v>199</v>
      </c>
      <c r="C120" s="38" t="s">
        <v>200</v>
      </c>
      <c r="D120" s="38" t="s">
        <v>21</v>
      </c>
      <c r="E120" s="38" t="s">
        <v>22</v>
      </c>
      <c r="F120" s="39" t="str">
        <f aca="false">INDEX('Plan Design'!$E$5:$E$34,MATCH($C120,'Plan Design'!$C$5:$C$34,0))</f>
        <v>N</v>
      </c>
      <c r="G120" s="40" t="n">
        <f aca="false">INDEX('Plan Design'!$O$5:$R$34,MATCH($C120,'Plan Design'!$C$5:$C$34,0),MATCH($E120,'Plan Design'!$O$4:$R$4,0))</f>
        <v>1525.54</v>
      </c>
      <c r="H120" s="40" t="n">
        <f aca="false">INDEX(Assumptions!$C$10:$C$13,MATCH($E120,Assumptions!$B$10:$B$13,0))</f>
        <v>1000</v>
      </c>
      <c r="I120" s="40" t="n">
        <f aca="false">INDEX(Assumptions!$D$18:$D$20,MATCH($A120,Assumptions!$A$18:$A$20,0))</f>
        <v>219.515</v>
      </c>
      <c r="J120" s="41" t="n">
        <f aca="false">MIN($G120,MAX($H120,$I120))</f>
        <v>1000</v>
      </c>
      <c r="K120" s="41" t="n">
        <f aca="false">$G120-$J120</f>
        <v>525.54</v>
      </c>
      <c r="L120" s="42" t="n">
        <f aca="false">$J120*12</f>
        <v>12000</v>
      </c>
      <c r="M120" s="42" t="n">
        <f aca="false">$K120*12</f>
        <v>6306.48</v>
      </c>
      <c r="N120" s="43" t="n">
        <f aca="false">IF($G120=0,0,$J120/$G120)</f>
        <v>0.655505591462695</v>
      </c>
      <c r="O120" s="44" t="n">
        <f aca="false">IF($E120="EE",INDEX('Plan Design'!$F$5:$F$34,MATCH($C120,'Plan Design'!$C$5:$C$34,0)),INDEX('Plan Design'!$G$5:$G$34,MATCH($C120,'Plan Design'!$C$5:$C$34,0)))</f>
        <v>4000</v>
      </c>
      <c r="P120" s="44" t="n">
        <f aca="false">IF($E120="EE",INDEX('Plan Design'!$H$5:$H$34,MATCH($C120,'Plan Design'!$C$5:$C$34,0)),INDEX('Plan Design'!$I$5:$I$34,MATCH($C120,'Plan Design'!$C$5:$C$34,0)))</f>
        <v>8000</v>
      </c>
      <c r="Q120" s="45" t="n">
        <f aca="false">$M120+$P120</f>
        <v>14306.48</v>
      </c>
      <c r="R120" s="6" t="str">
        <f aca="false">$C120&amp;"|"&amp;$E120</f>
        <v>Angle|ANG TRAD 2000/4000|FAM</v>
      </c>
    </row>
    <row r="121" customFormat="false" ht="15" hidden="false" customHeight="false" outlineLevel="0" collapsed="false">
      <c r="A121" s="11" t="s">
        <v>38</v>
      </c>
      <c r="B121" s="11" t="s">
        <v>203</v>
      </c>
      <c r="C121" s="11" t="s">
        <v>204</v>
      </c>
      <c r="D121" s="11" t="s">
        <v>12</v>
      </c>
      <c r="E121" s="11" t="s">
        <v>13</v>
      </c>
      <c r="F121" s="33" t="str">
        <f aca="false">INDEX('Plan Design'!$E$5:$E$34,MATCH($C121,'Plan Design'!$C$5:$C$34,0))</f>
        <v>N</v>
      </c>
      <c r="G121" s="34" t="n">
        <f aca="false">INDEX('Plan Design'!$O$5:$R$34,MATCH($C121,'Plan Design'!$C$5:$C$34,0),MATCH($E121,'Plan Design'!$O$4:$R$4,0))</f>
        <v>546.33</v>
      </c>
      <c r="H121" s="34" t="n">
        <f aca="false">INDEX(Assumptions!$C$10:$C$13,MATCH($E121,Assumptions!$B$10:$B$13,0))</f>
        <v>300</v>
      </c>
      <c r="I121" s="34" t="n">
        <f aca="false">INDEX(Assumptions!$D$18:$D$20,MATCH($A121,Assumptions!$A$18:$A$20,0))</f>
        <v>219.515</v>
      </c>
      <c r="J121" s="19" t="n">
        <f aca="false">MIN($G121,MAX($H121,$I121))</f>
        <v>300</v>
      </c>
      <c r="K121" s="19" t="n">
        <f aca="false">$G121-$J121</f>
        <v>246.33</v>
      </c>
      <c r="L121" s="14" t="n">
        <f aca="false">$J121*12</f>
        <v>3600</v>
      </c>
      <c r="M121" s="14" t="n">
        <f aca="false">$K121*12</f>
        <v>2955.96</v>
      </c>
      <c r="N121" s="35" t="n">
        <f aca="false">IF($G121=0,0,$J121/$G121)</f>
        <v>0.549118664543408</v>
      </c>
      <c r="O121" s="36" t="n">
        <f aca="false">IF($E121="EE",INDEX('Plan Design'!$F$5:$F$34,MATCH($C121,'Plan Design'!$C$5:$C$34,0)),INDEX('Plan Design'!$G$5:$G$34,MATCH($C121,'Plan Design'!$C$5:$C$34,0)))</f>
        <v>1000</v>
      </c>
      <c r="P121" s="36" t="n">
        <f aca="false">IF($E121="EE",INDEX('Plan Design'!$H$5:$H$34,MATCH($C121,'Plan Design'!$C$5:$C$34,0)),INDEX('Plan Design'!$I$5:$I$34,MATCH($C121,'Plan Design'!$C$5:$C$34,0)))</f>
        <v>2000</v>
      </c>
      <c r="Q121" s="37" t="n">
        <f aca="false">$M121+$P121</f>
        <v>4955.96</v>
      </c>
      <c r="R121" s="6" t="str">
        <f aca="false">$C121&amp;"|"&amp;$E121</f>
        <v>Angle|ANG TRAD 1000/2000|EE</v>
      </c>
    </row>
    <row r="122" customFormat="false" ht="15" hidden="false" customHeight="false" outlineLevel="0" collapsed="false">
      <c r="A122" s="38" t="s">
        <v>38</v>
      </c>
      <c r="B122" s="38" t="s">
        <v>203</v>
      </c>
      <c r="C122" s="38" t="s">
        <v>204</v>
      </c>
      <c r="D122" s="38" t="s">
        <v>15</v>
      </c>
      <c r="E122" s="38" t="s">
        <v>16</v>
      </c>
      <c r="F122" s="39" t="str">
        <f aca="false">INDEX('Plan Design'!$E$5:$E$34,MATCH($C122,'Plan Design'!$C$5:$C$34,0))</f>
        <v>N</v>
      </c>
      <c r="G122" s="40" t="n">
        <f aca="false">INDEX('Plan Design'!$O$5:$R$34,MATCH($C122,'Plan Design'!$C$5:$C$34,0),MATCH($E122,'Plan Design'!$O$4:$R$4,0))</f>
        <v>1147.29</v>
      </c>
      <c r="H122" s="40" t="n">
        <f aca="false">INDEX(Assumptions!$C$10:$C$13,MATCH($E122,Assumptions!$B$10:$B$13,0))</f>
        <v>600</v>
      </c>
      <c r="I122" s="40" t="n">
        <f aca="false">INDEX(Assumptions!$D$18:$D$20,MATCH($A122,Assumptions!$A$18:$A$20,0))</f>
        <v>219.515</v>
      </c>
      <c r="J122" s="41" t="n">
        <f aca="false">MIN($G122,MAX($H122,$I122))</f>
        <v>600</v>
      </c>
      <c r="K122" s="41" t="n">
        <f aca="false">$G122-$J122</f>
        <v>547.29</v>
      </c>
      <c r="L122" s="42" t="n">
        <f aca="false">$J122*12</f>
        <v>7200</v>
      </c>
      <c r="M122" s="42" t="n">
        <f aca="false">$K122*12</f>
        <v>6567.48</v>
      </c>
      <c r="N122" s="43" t="n">
        <f aca="false">IF($G122=0,0,$J122/$G122)</f>
        <v>0.522971524200507</v>
      </c>
      <c r="O122" s="44" t="n">
        <f aca="false">IF($E122="EE",INDEX('Plan Design'!$F$5:$F$34,MATCH($C122,'Plan Design'!$C$5:$C$34,0)),INDEX('Plan Design'!$G$5:$G$34,MATCH($C122,'Plan Design'!$C$5:$C$34,0)))</f>
        <v>2000</v>
      </c>
      <c r="P122" s="44" t="n">
        <f aca="false">IF($E122="EE",INDEX('Plan Design'!$H$5:$H$34,MATCH($C122,'Plan Design'!$C$5:$C$34,0)),INDEX('Plan Design'!$I$5:$I$34,MATCH($C122,'Plan Design'!$C$5:$C$34,0)))</f>
        <v>4000</v>
      </c>
      <c r="Q122" s="45" t="n">
        <f aca="false">$M122+$P122</f>
        <v>10567.48</v>
      </c>
      <c r="R122" s="6" t="str">
        <f aca="false">$C122&amp;"|"&amp;$E122</f>
        <v>Angle|ANG TRAD 1000/2000|ES</v>
      </c>
    </row>
    <row r="123" customFormat="false" ht="15" hidden="false" customHeight="false" outlineLevel="0" collapsed="false">
      <c r="A123" s="11" t="s">
        <v>38</v>
      </c>
      <c r="B123" s="11" t="s">
        <v>203</v>
      </c>
      <c r="C123" s="11" t="s">
        <v>204</v>
      </c>
      <c r="D123" s="11" t="s">
        <v>18</v>
      </c>
      <c r="E123" s="11" t="s">
        <v>19</v>
      </c>
      <c r="F123" s="33" t="str">
        <f aca="false">INDEX('Plan Design'!$E$5:$E$34,MATCH($C123,'Plan Design'!$C$5:$C$34,0))</f>
        <v>N</v>
      </c>
      <c r="G123" s="34" t="n">
        <f aca="false">INDEX('Plan Design'!$O$5:$R$34,MATCH($C123,'Plan Design'!$C$5:$C$34,0),MATCH($E123,'Plan Design'!$O$4:$R$4,0))</f>
        <v>1038.02</v>
      </c>
      <c r="H123" s="34" t="n">
        <f aca="false">INDEX(Assumptions!$C$10:$C$13,MATCH($E123,Assumptions!$B$10:$B$13,0))</f>
        <v>600</v>
      </c>
      <c r="I123" s="34" t="n">
        <f aca="false">INDEX(Assumptions!$D$18:$D$20,MATCH($A123,Assumptions!$A$18:$A$20,0))</f>
        <v>219.515</v>
      </c>
      <c r="J123" s="19" t="n">
        <f aca="false">MIN($G123,MAX($H123,$I123))</f>
        <v>600</v>
      </c>
      <c r="K123" s="19" t="n">
        <f aca="false">$G123-$J123</f>
        <v>438.02</v>
      </c>
      <c r="L123" s="14" t="n">
        <f aca="false">$J123*12</f>
        <v>7200</v>
      </c>
      <c r="M123" s="14" t="n">
        <f aca="false">$K123*12</f>
        <v>5256.24</v>
      </c>
      <c r="N123" s="35" t="n">
        <f aca="false">IF($G123=0,0,$J123/$G123)</f>
        <v>0.578023544825726</v>
      </c>
      <c r="O123" s="36" t="n">
        <f aca="false">IF($E123="EE",INDEX('Plan Design'!$F$5:$F$34,MATCH($C123,'Plan Design'!$C$5:$C$34,0)),INDEX('Plan Design'!$G$5:$G$34,MATCH($C123,'Plan Design'!$C$5:$C$34,0)))</f>
        <v>2000</v>
      </c>
      <c r="P123" s="36" t="n">
        <f aca="false">IF($E123="EE",INDEX('Plan Design'!$H$5:$H$34,MATCH($C123,'Plan Design'!$C$5:$C$34,0)),INDEX('Plan Design'!$I$5:$I$34,MATCH($C123,'Plan Design'!$C$5:$C$34,0)))</f>
        <v>4000</v>
      </c>
      <c r="Q123" s="37" t="n">
        <f aca="false">$M123+$P123</f>
        <v>9256.24</v>
      </c>
      <c r="R123" s="6" t="str">
        <f aca="false">$C123&amp;"|"&amp;$E123</f>
        <v>Angle|ANG TRAD 1000/2000|EC</v>
      </c>
    </row>
    <row r="124" customFormat="false" ht="15" hidden="false" customHeight="false" outlineLevel="0" collapsed="false">
      <c r="A124" s="38" t="s">
        <v>38</v>
      </c>
      <c r="B124" s="38" t="s">
        <v>203</v>
      </c>
      <c r="C124" s="38" t="s">
        <v>204</v>
      </c>
      <c r="D124" s="38" t="s">
        <v>21</v>
      </c>
      <c r="E124" s="38" t="s">
        <v>22</v>
      </c>
      <c r="F124" s="39" t="str">
        <f aca="false">INDEX('Plan Design'!$E$5:$E$34,MATCH($C124,'Plan Design'!$C$5:$C$34,0))</f>
        <v>N</v>
      </c>
      <c r="G124" s="40" t="n">
        <f aca="false">INDEX('Plan Design'!$O$5:$R$34,MATCH($C124,'Plan Design'!$C$5:$C$34,0),MATCH($E124,'Plan Design'!$O$4:$R$4,0))</f>
        <v>1693.61</v>
      </c>
      <c r="H124" s="40" t="n">
        <f aca="false">INDEX(Assumptions!$C$10:$C$13,MATCH($E124,Assumptions!$B$10:$B$13,0))</f>
        <v>1000</v>
      </c>
      <c r="I124" s="40" t="n">
        <f aca="false">INDEX(Assumptions!$D$18:$D$20,MATCH($A124,Assumptions!$A$18:$A$20,0))</f>
        <v>219.515</v>
      </c>
      <c r="J124" s="41" t="n">
        <f aca="false">MIN($G124,MAX($H124,$I124))</f>
        <v>1000</v>
      </c>
      <c r="K124" s="41" t="n">
        <f aca="false">$G124-$J124</f>
        <v>693.61</v>
      </c>
      <c r="L124" s="42" t="n">
        <f aca="false">$J124*12</f>
        <v>12000</v>
      </c>
      <c r="M124" s="42" t="n">
        <f aca="false">$K124*12</f>
        <v>8323.32</v>
      </c>
      <c r="N124" s="43" t="n">
        <f aca="false">IF($G124=0,0,$J124/$G124)</f>
        <v>0.590454709171533</v>
      </c>
      <c r="O124" s="44" t="n">
        <f aca="false">IF($E124="EE",INDEX('Plan Design'!$F$5:$F$34,MATCH($C124,'Plan Design'!$C$5:$C$34,0)),INDEX('Plan Design'!$G$5:$G$34,MATCH($C124,'Plan Design'!$C$5:$C$34,0)))</f>
        <v>2000</v>
      </c>
      <c r="P124" s="44" t="n">
        <f aca="false">IF($E124="EE",INDEX('Plan Design'!$H$5:$H$34,MATCH($C124,'Plan Design'!$C$5:$C$34,0)),INDEX('Plan Design'!$I$5:$I$34,MATCH($C124,'Plan Design'!$C$5:$C$34,0)))</f>
        <v>4000</v>
      </c>
      <c r="Q124" s="45" t="n">
        <f aca="false">$M124+$P124</f>
        <v>12323.32</v>
      </c>
      <c r="R124" s="6" t="str">
        <f aca="false">$C124&amp;"|"&amp;$E124</f>
        <v>Angle|ANG TRAD 1000/2000|FAM</v>
      </c>
    </row>
    <row r="126" customFormat="false" ht="15" hidden="false" customHeight="false" outlineLevel="0" collapsed="false">
      <c r="A126" s="2" t="s">
        <v>221</v>
      </c>
    </row>
    <row r="127" customFormat="false" ht="15" hidden="false" customHeight="false" outlineLevel="0" collapsed="false">
      <c r="A127" s="2" t="s">
        <v>222</v>
      </c>
    </row>
  </sheetData>
  <autoFilter ref="A4:Q1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true" outlineLevel="0" max="3" min="3" style="0" width="36"/>
    <col collapsed="false" customWidth="true" hidden="false" outlineLevel="0" max="4" min="4" style="0" width="6"/>
    <col collapsed="false" customWidth="true" hidden="false" outlineLevel="0" max="6" min="5" style="0" width="13"/>
    <col collapsed="false" customWidth="true" hidden="false" outlineLevel="0" max="9" min="7" style="0" width="17"/>
    <col collapsed="false" customWidth="true" hidden="false" outlineLevel="0" max="10" min="10" style="0" width="18"/>
    <col collapsed="false" customWidth="true" hidden="false" outlineLevel="0" max="11" min="11" style="0" width="20"/>
  </cols>
  <sheetData>
    <row r="1" customFormat="false" ht="17.35" hidden="false" customHeight="false" outlineLevel="0" collapsed="false">
      <c r="A1" s="1" t="s">
        <v>223</v>
      </c>
    </row>
    <row r="2" customFormat="false" ht="15" hidden="false" customHeight="false" outlineLevel="0" collapsed="false">
      <c r="A2" s="2" t="s">
        <v>224</v>
      </c>
    </row>
    <row r="4" customFormat="false" ht="42" hidden="false" customHeight="true" outlineLevel="0" collapsed="false">
      <c r="A4" s="10" t="s">
        <v>26</v>
      </c>
      <c r="B4" s="10" t="s">
        <v>92</v>
      </c>
      <c r="C4" s="10" t="s">
        <v>93</v>
      </c>
      <c r="D4" s="10" t="s">
        <v>95</v>
      </c>
      <c r="E4" s="10" t="s">
        <v>225</v>
      </c>
      <c r="F4" s="10" t="s">
        <v>226</v>
      </c>
      <c r="G4" s="10" t="s">
        <v>227</v>
      </c>
      <c r="H4" s="10" t="s">
        <v>228</v>
      </c>
      <c r="I4" s="10" t="s">
        <v>229</v>
      </c>
      <c r="J4" s="10" t="s">
        <v>230</v>
      </c>
      <c r="K4" s="10" t="s">
        <v>231</v>
      </c>
    </row>
    <row r="5" customFormat="false" ht="15" hidden="false" customHeight="false" outlineLevel="0" collapsed="false">
      <c r="A5" s="11" t="s">
        <v>32</v>
      </c>
      <c r="B5" s="11" t="s">
        <v>105</v>
      </c>
      <c r="C5" s="11" t="s">
        <v>106</v>
      </c>
      <c r="D5" s="33" t="str">
        <f aca="false">INDEX('Plan Design'!$E$5:$E$34,MATCH($C5,'Plan Design'!$C$5:$C$34,0))</f>
        <v>Y</v>
      </c>
      <c r="E5" s="19" t="n">
        <f aca="false">SUMIFS('Cost by Tier'!$J$5:$J$124,'Cost by Tier'!$C$5:$C$124,$C5,'Cost by Tier'!$E$5:$E$124,"EE")+SUMIFS('Cost by Tier'!$J$5:$J$124,'Cost by Tier'!$C$5:$C$124,$C5,'Cost by Tier'!$E$5:$E$124,"ES")+2*SUMIFS('Cost by Tier'!$J$5:$J$124,'Cost by Tier'!$C$5:$C$124,$C5,'Cost by Tier'!$E$5:$E$124,"FAM")</f>
        <v>2900</v>
      </c>
      <c r="F5" s="37" t="n">
        <f aca="false">E5*12</f>
        <v>34800</v>
      </c>
      <c r="G5" s="19" t="n">
        <f aca="false">SUMIFS('Cost by Tier'!$K$5:$K$124,'Cost by Tier'!$C$5:$C$124,$C5,'Cost by Tier'!$E$5:$E$124,"EE")+SUMIFS('Cost by Tier'!$K$5:$K$124,'Cost by Tier'!$C$5:$C$124,$C5,'Cost by Tier'!$E$5:$E$124,"ES")+2*SUMIFS('Cost by Tier'!$K$5:$K$124,'Cost by Tier'!$C$5:$C$124,$C5,'Cost by Tier'!$E$5:$E$124,"FAM")</f>
        <v>3090.16</v>
      </c>
      <c r="H5" s="14" t="n">
        <f aca="false">G5*12</f>
        <v>37081.92</v>
      </c>
      <c r="I5" s="14" t="n">
        <f aca="false">F5+H5</f>
        <v>71881.92</v>
      </c>
      <c r="J5" s="14" t="n">
        <f aca="false">SUMIFS('Cost by Tier'!$Q$5:$Q$124,'Cost by Tier'!$C$5:$C$124,$C5,'Cost by Tier'!$E$5:$E$124,"EE")+SUMIFS('Cost by Tier'!$Q$5:$Q$124,'Cost by Tier'!$C$5:$C$124,$C5,'Cost by Tier'!$E$5:$E$124,"ES")+2*SUMIFS('Cost by Tier'!$Q$5:$Q$124,'Cost by Tier'!$C$5:$C$124,$C5,'Cost by Tier'!$E$5:$E$124,"FAM")</f>
        <v>61581.92</v>
      </c>
      <c r="K5" s="14" t="n">
        <f aca="false">F5-Assumptions!$D$14</f>
        <v>0</v>
      </c>
    </row>
    <row r="6" customFormat="false" ht="15" hidden="false" customHeight="false" outlineLevel="0" collapsed="false">
      <c r="A6" s="38" t="s">
        <v>32</v>
      </c>
      <c r="B6" s="38" t="s">
        <v>113</v>
      </c>
      <c r="C6" s="38" t="s">
        <v>114</v>
      </c>
      <c r="D6" s="39" t="str">
        <f aca="false">INDEX('Plan Design'!$E$5:$E$34,MATCH($C6,'Plan Design'!$C$5:$C$34,0))</f>
        <v>Y</v>
      </c>
      <c r="E6" s="41" t="n">
        <f aca="false">SUMIFS('Cost by Tier'!$J$5:$J$124,'Cost by Tier'!$C$5:$C$124,$C6,'Cost by Tier'!$E$5:$E$124,"EE")+SUMIFS('Cost by Tier'!$J$5:$J$124,'Cost by Tier'!$C$5:$C$124,$C6,'Cost by Tier'!$E$5:$E$124,"ES")+2*SUMIFS('Cost by Tier'!$J$5:$J$124,'Cost by Tier'!$C$5:$C$124,$C6,'Cost by Tier'!$E$5:$E$124,"FAM")</f>
        <v>2900</v>
      </c>
      <c r="F6" s="45" t="n">
        <f aca="false">E6*12</f>
        <v>34800</v>
      </c>
      <c r="G6" s="41" t="n">
        <f aca="false">SUMIFS('Cost by Tier'!$K$5:$K$124,'Cost by Tier'!$C$5:$C$124,$C6,'Cost by Tier'!$E$5:$E$124,"EE")+SUMIFS('Cost by Tier'!$K$5:$K$124,'Cost by Tier'!$C$5:$C$124,$C6,'Cost by Tier'!$E$5:$E$124,"ES")+2*SUMIFS('Cost by Tier'!$K$5:$K$124,'Cost by Tier'!$C$5:$C$124,$C6,'Cost by Tier'!$E$5:$E$124,"FAM")</f>
        <v>2774.22</v>
      </c>
      <c r="H6" s="42" t="n">
        <f aca="false">G6*12</f>
        <v>33290.64</v>
      </c>
      <c r="I6" s="42" t="n">
        <f aca="false">F6+H6</f>
        <v>68090.64</v>
      </c>
      <c r="J6" s="42" t="n">
        <f aca="false">SUMIFS('Cost by Tier'!$Q$5:$Q$124,'Cost by Tier'!$C$5:$C$124,$C6,'Cost by Tier'!$E$5:$E$124,"EE")+SUMIFS('Cost by Tier'!$Q$5:$Q$124,'Cost by Tier'!$C$5:$C$124,$C6,'Cost by Tier'!$E$5:$E$124,"ES")+2*SUMIFS('Cost by Tier'!$Q$5:$Q$124,'Cost by Tier'!$C$5:$C$124,$C6,'Cost by Tier'!$E$5:$E$124,"FAM")</f>
        <v>57790.64</v>
      </c>
      <c r="K6" s="42" t="n">
        <f aca="false">F6-Assumptions!$D$14</f>
        <v>0</v>
      </c>
    </row>
    <row r="7" customFormat="false" ht="15" hidden="false" customHeight="false" outlineLevel="0" collapsed="false">
      <c r="A7" s="11" t="s">
        <v>32</v>
      </c>
      <c r="B7" s="11" t="s">
        <v>115</v>
      </c>
      <c r="C7" s="11" t="s">
        <v>116</v>
      </c>
      <c r="D7" s="33" t="str">
        <f aca="false">INDEX('Plan Design'!$E$5:$E$34,MATCH($C7,'Plan Design'!$C$5:$C$34,0))</f>
        <v>N</v>
      </c>
      <c r="E7" s="19" t="n">
        <f aca="false">SUMIFS('Cost by Tier'!$J$5:$J$124,'Cost by Tier'!$C$5:$C$124,$C7,'Cost by Tier'!$E$5:$E$124,"EE")+SUMIFS('Cost by Tier'!$J$5:$J$124,'Cost by Tier'!$C$5:$C$124,$C7,'Cost by Tier'!$E$5:$E$124,"ES")+2*SUMIFS('Cost by Tier'!$J$5:$J$124,'Cost by Tier'!$C$5:$C$124,$C7,'Cost by Tier'!$E$5:$E$124,"FAM")</f>
        <v>2900</v>
      </c>
      <c r="F7" s="37" t="n">
        <f aca="false">E7*12</f>
        <v>34800</v>
      </c>
      <c r="G7" s="19" t="n">
        <f aca="false">SUMIFS('Cost by Tier'!$K$5:$K$124,'Cost by Tier'!$C$5:$C$124,$C7,'Cost by Tier'!$E$5:$E$124,"EE")+SUMIFS('Cost by Tier'!$K$5:$K$124,'Cost by Tier'!$C$5:$C$124,$C7,'Cost by Tier'!$E$5:$E$124,"ES")+2*SUMIFS('Cost by Tier'!$K$5:$K$124,'Cost by Tier'!$C$5:$C$124,$C7,'Cost by Tier'!$E$5:$E$124,"FAM")</f>
        <v>5355.18</v>
      </c>
      <c r="H7" s="14" t="n">
        <f aca="false">G7*12</f>
        <v>64262.16</v>
      </c>
      <c r="I7" s="14" t="n">
        <f aca="false">F7+H7</f>
        <v>99062.16</v>
      </c>
      <c r="J7" s="14" t="n">
        <f aca="false">SUMIFS('Cost by Tier'!$Q$5:$Q$124,'Cost by Tier'!$C$5:$C$124,$C7,'Cost by Tier'!$E$5:$E$124,"EE")+SUMIFS('Cost by Tier'!$Q$5:$Q$124,'Cost by Tier'!$C$5:$C$124,$C7,'Cost by Tier'!$E$5:$E$124,"ES")+2*SUMIFS('Cost by Tier'!$Q$5:$Q$124,'Cost by Tier'!$C$5:$C$124,$C7,'Cost by Tier'!$E$5:$E$124,"FAM")</f>
        <v>88762.16</v>
      </c>
      <c r="K7" s="14" t="n">
        <f aca="false">F7-Assumptions!$D$14</f>
        <v>0</v>
      </c>
    </row>
    <row r="8" customFormat="false" ht="15" hidden="false" customHeight="false" outlineLevel="0" collapsed="false">
      <c r="A8" s="38" t="s">
        <v>32</v>
      </c>
      <c r="B8" s="38" t="s">
        <v>123</v>
      </c>
      <c r="C8" s="38" t="s">
        <v>124</v>
      </c>
      <c r="D8" s="39" t="str">
        <f aca="false">INDEX('Plan Design'!$E$5:$E$34,MATCH($C8,'Plan Design'!$C$5:$C$34,0))</f>
        <v>N</v>
      </c>
      <c r="E8" s="41" t="n">
        <f aca="false">SUMIFS('Cost by Tier'!$J$5:$J$124,'Cost by Tier'!$C$5:$C$124,$C8,'Cost by Tier'!$E$5:$E$124,"EE")+SUMIFS('Cost by Tier'!$J$5:$J$124,'Cost by Tier'!$C$5:$C$124,$C8,'Cost by Tier'!$E$5:$E$124,"ES")+2*SUMIFS('Cost by Tier'!$J$5:$J$124,'Cost by Tier'!$C$5:$C$124,$C8,'Cost by Tier'!$E$5:$E$124,"FAM")</f>
        <v>2900</v>
      </c>
      <c r="F8" s="45" t="n">
        <f aca="false">E8*12</f>
        <v>34800</v>
      </c>
      <c r="G8" s="41" t="n">
        <f aca="false">SUMIFS('Cost by Tier'!$K$5:$K$124,'Cost by Tier'!$C$5:$C$124,$C8,'Cost by Tier'!$E$5:$E$124,"EE")+SUMIFS('Cost by Tier'!$K$5:$K$124,'Cost by Tier'!$C$5:$C$124,$C8,'Cost by Tier'!$E$5:$E$124,"ES")+2*SUMIFS('Cost by Tier'!$K$5:$K$124,'Cost by Tier'!$C$5:$C$124,$C8,'Cost by Tier'!$E$5:$E$124,"FAM")</f>
        <v>4282.79</v>
      </c>
      <c r="H8" s="42" t="n">
        <f aca="false">G8*12</f>
        <v>51393.48</v>
      </c>
      <c r="I8" s="42" t="n">
        <f aca="false">F8+H8</f>
        <v>86193.48</v>
      </c>
      <c r="J8" s="42" t="n">
        <f aca="false">SUMIFS('Cost by Tier'!$Q$5:$Q$124,'Cost by Tier'!$C$5:$C$124,$C8,'Cost by Tier'!$E$5:$E$124,"EE")+SUMIFS('Cost by Tier'!$Q$5:$Q$124,'Cost by Tier'!$C$5:$C$124,$C8,'Cost by Tier'!$E$5:$E$124,"ES")+2*SUMIFS('Cost by Tier'!$Q$5:$Q$124,'Cost by Tier'!$C$5:$C$124,$C8,'Cost by Tier'!$E$5:$E$124,"FAM")</f>
        <v>82893.48</v>
      </c>
      <c r="K8" s="42" t="n">
        <f aca="false">F8-Assumptions!$D$14</f>
        <v>0</v>
      </c>
    </row>
    <row r="9" customFormat="false" ht="15" hidden="false" customHeight="false" outlineLevel="0" collapsed="false">
      <c r="A9" s="11" t="s">
        <v>32</v>
      </c>
      <c r="B9" s="11" t="s">
        <v>126</v>
      </c>
      <c r="C9" s="11" t="s">
        <v>127</v>
      </c>
      <c r="D9" s="33" t="str">
        <f aca="false">INDEX('Plan Design'!$E$5:$E$34,MATCH($C9,'Plan Design'!$C$5:$C$34,0))</f>
        <v>Y</v>
      </c>
      <c r="E9" s="19" t="n">
        <f aca="false">SUMIFS('Cost by Tier'!$J$5:$J$124,'Cost by Tier'!$C$5:$C$124,$C9,'Cost by Tier'!$E$5:$E$124,"EE")+SUMIFS('Cost by Tier'!$J$5:$J$124,'Cost by Tier'!$C$5:$C$124,$C9,'Cost by Tier'!$E$5:$E$124,"ES")+2*SUMIFS('Cost by Tier'!$J$5:$J$124,'Cost by Tier'!$C$5:$C$124,$C9,'Cost by Tier'!$E$5:$E$124,"FAM")</f>
        <v>2900</v>
      </c>
      <c r="F9" s="37" t="n">
        <f aca="false">E9*12</f>
        <v>34800</v>
      </c>
      <c r="G9" s="19" t="n">
        <f aca="false">SUMIFS('Cost by Tier'!$K$5:$K$124,'Cost by Tier'!$C$5:$C$124,$C9,'Cost by Tier'!$E$5:$E$124,"EE")+SUMIFS('Cost by Tier'!$K$5:$K$124,'Cost by Tier'!$C$5:$C$124,$C9,'Cost by Tier'!$E$5:$E$124,"ES")+2*SUMIFS('Cost by Tier'!$K$5:$K$124,'Cost by Tier'!$C$5:$C$124,$C9,'Cost by Tier'!$E$5:$E$124,"FAM")</f>
        <v>1682.59</v>
      </c>
      <c r="H9" s="14" t="n">
        <f aca="false">G9*12</f>
        <v>20191.08</v>
      </c>
      <c r="I9" s="14" t="n">
        <f aca="false">F9+H9</f>
        <v>54991.08</v>
      </c>
      <c r="J9" s="14" t="n">
        <f aca="false">SUMIFS('Cost by Tier'!$Q$5:$Q$124,'Cost by Tier'!$C$5:$C$124,$C9,'Cost by Tier'!$E$5:$E$124,"EE")+SUMIFS('Cost by Tier'!$Q$5:$Q$124,'Cost by Tier'!$C$5:$C$124,$C9,'Cost by Tier'!$E$5:$E$124,"ES")+2*SUMIFS('Cost by Tier'!$Q$5:$Q$124,'Cost by Tier'!$C$5:$C$124,$C9,'Cost by Tier'!$E$5:$E$124,"FAM")</f>
        <v>64641.08</v>
      </c>
      <c r="K9" s="14" t="n">
        <f aca="false">F9-Assumptions!$D$14</f>
        <v>0</v>
      </c>
    </row>
    <row r="10" customFormat="false" ht="15" hidden="false" customHeight="false" outlineLevel="0" collapsed="false">
      <c r="A10" s="38" t="s">
        <v>32</v>
      </c>
      <c r="B10" s="38" t="s">
        <v>131</v>
      </c>
      <c r="C10" s="38" t="s">
        <v>132</v>
      </c>
      <c r="D10" s="39" t="str">
        <f aca="false">INDEX('Plan Design'!$E$5:$E$34,MATCH($C10,'Plan Design'!$C$5:$C$34,0))</f>
        <v>N</v>
      </c>
      <c r="E10" s="41" t="n">
        <f aca="false">SUMIFS('Cost by Tier'!$J$5:$J$124,'Cost by Tier'!$C$5:$C$124,$C10,'Cost by Tier'!$E$5:$E$124,"EE")+SUMIFS('Cost by Tier'!$J$5:$J$124,'Cost by Tier'!$C$5:$C$124,$C10,'Cost by Tier'!$E$5:$E$124,"ES")+2*SUMIFS('Cost by Tier'!$J$5:$J$124,'Cost by Tier'!$C$5:$C$124,$C10,'Cost by Tier'!$E$5:$E$124,"FAM")</f>
        <v>2900</v>
      </c>
      <c r="F10" s="45" t="n">
        <f aca="false">E10*12</f>
        <v>34800</v>
      </c>
      <c r="G10" s="41" t="n">
        <f aca="false">SUMIFS('Cost by Tier'!$K$5:$K$124,'Cost by Tier'!$C$5:$C$124,$C10,'Cost by Tier'!$E$5:$E$124,"EE")+SUMIFS('Cost by Tier'!$K$5:$K$124,'Cost by Tier'!$C$5:$C$124,$C10,'Cost by Tier'!$E$5:$E$124,"ES")+2*SUMIFS('Cost by Tier'!$K$5:$K$124,'Cost by Tier'!$C$5:$C$124,$C10,'Cost by Tier'!$E$5:$E$124,"FAM")</f>
        <v>4815.89</v>
      </c>
      <c r="H10" s="42" t="n">
        <f aca="false">G10*12</f>
        <v>57790.68</v>
      </c>
      <c r="I10" s="42" t="n">
        <f aca="false">F10+H10</f>
        <v>92590.68</v>
      </c>
      <c r="J10" s="42" t="n">
        <f aca="false">SUMIFS('Cost by Tier'!$Q$5:$Q$124,'Cost by Tier'!$C$5:$C$124,$C10,'Cost by Tier'!$E$5:$E$124,"EE")+SUMIFS('Cost by Tier'!$Q$5:$Q$124,'Cost by Tier'!$C$5:$C$124,$C10,'Cost by Tier'!$E$5:$E$124,"ES")+2*SUMIFS('Cost by Tier'!$Q$5:$Q$124,'Cost by Tier'!$C$5:$C$124,$C10,'Cost by Tier'!$E$5:$E$124,"FAM")</f>
        <v>82290.68</v>
      </c>
      <c r="K10" s="42" t="n">
        <f aca="false">F10-Assumptions!$D$14</f>
        <v>0</v>
      </c>
    </row>
    <row r="11" customFormat="false" ht="15" hidden="false" customHeight="false" outlineLevel="0" collapsed="false">
      <c r="A11" s="11" t="s">
        <v>32</v>
      </c>
      <c r="B11" s="11" t="s">
        <v>133</v>
      </c>
      <c r="C11" s="11" t="s">
        <v>134</v>
      </c>
      <c r="D11" s="33" t="str">
        <f aca="false">INDEX('Plan Design'!$E$5:$E$34,MATCH($C11,'Plan Design'!$C$5:$C$34,0))</f>
        <v>N</v>
      </c>
      <c r="E11" s="19" t="n">
        <f aca="false">SUMIFS('Cost by Tier'!$J$5:$J$124,'Cost by Tier'!$C$5:$C$124,$C11,'Cost by Tier'!$E$5:$E$124,"EE")+SUMIFS('Cost by Tier'!$J$5:$J$124,'Cost by Tier'!$C$5:$C$124,$C11,'Cost by Tier'!$E$5:$E$124,"ES")+2*SUMIFS('Cost by Tier'!$J$5:$J$124,'Cost by Tier'!$C$5:$C$124,$C11,'Cost by Tier'!$E$5:$E$124,"FAM")</f>
        <v>2900</v>
      </c>
      <c r="F11" s="37" t="n">
        <f aca="false">E11*12</f>
        <v>34800</v>
      </c>
      <c r="G11" s="19" t="n">
        <f aca="false">SUMIFS('Cost by Tier'!$K$5:$K$124,'Cost by Tier'!$C$5:$C$124,$C11,'Cost by Tier'!$E$5:$E$124,"EE")+SUMIFS('Cost by Tier'!$K$5:$K$124,'Cost by Tier'!$C$5:$C$124,$C11,'Cost by Tier'!$E$5:$E$124,"ES")+2*SUMIFS('Cost by Tier'!$K$5:$K$124,'Cost by Tier'!$C$5:$C$124,$C11,'Cost by Tier'!$E$5:$E$124,"FAM")</f>
        <v>4104.54</v>
      </c>
      <c r="H11" s="14" t="n">
        <f aca="false">G11*12</f>
        <v>49254.48</v>
      </c>
      <c r="I11" s="14" t="n">
        <f aca="false">F11+H11</f>
        <v>84054.48</v>
      </c>
      <c r="J11" s="14" t="n">
        <f aca="false">SUMIFS('Cost by Tier'!$Q$5:$Q$124,'Cost by Tier'!$C$5:$C$124,$C11,'Cost by Tier'!$E$5:$E$124,"EE")+SUMIFS('Cost by Tier'!$Q$5:$Q$124,'Cost by Tier'!$C$5:$C$124,$C11,'Cost by Tier'!$E$5:$E$124,"ES")+2*SUMIFS('Cost by Tier'!$Q$5:$Q$124,'Cost by Tier'!$C$5:$C$124,$C11,'Cost by Tier'!$E$5:$E$124,"FAM")</f>
        <v>80754.48</v>
      </c>
      <c r="K11" s="14" t="n">
        <f aca="false">F11-Assumptions!$D$14</f>
        <v>0</v>
      </c>
    </row>
    <row r="12" customFormat="false" ht="15" hidden="false" customHeight="false" outlineLevel="0" collapsed="false">
      <c r="A12" s="38" t="s">
        <v>32</v>
      </c>
      <c r="B12" s="38" t="s">
        <v>135</v>
      </c>
      <c r="C12" s="38" t="s">
        <v>136</v>
      </c>
      <c r="D12" s="39" t="str">
        <f aca="false">INDEX('Plan Design'!$E$5:$E$34,MATCH($C12,'Plan Design'!$C$5:$C$34,0))</f>
        <v>N</v>
      </c>
      <c r="E12" s="41" t="n">
        <f aca="false">SUMIFS('Cost by Tier'!$J$5:$J$124,'Cost by Tier'!$C$5:$C$124,$C12,'Cost by Tier'!$E$5:$E$124,"EE")+SUMIFS('Cost by Tier'!$J$5:$J$124,'Cost by Tier'!$C$5:$C$124,$C12,'Cost by Tier'!$E$5:$E$124,"ES")+2*SUMIFS('Cost by Tier'!$J$5:$J$124,'Cost by Tier'!$C$5:$C$124,$C12,'Cost by Tier'!$E$5:$E$124,"FAM")</f>
        <v>2900</v>
      </c>
      <c r="F12" s="45" t="n">
        <f aca="false">E12*12</f>
        <v>34800</v>
      </c>
      <c r="G12" s="41" t="n">
        <f aca="false">SUMIFS('Cost by Tier'!$K$5:$K$124,'Cost by Tier'!$C$5:$C$124,$C12,'Cost by Tier'!$E$5:$E$124,"EE")+SUMIFS('Cost by Tier'!$K$5:$K$124,'Cost by Tier'!$C$5:$C$124,$C12,'Cost by Tier'!$E$5:$E$124,"ES")+2*SUMIFS('Cost by Tier'!$K$5:$K$124,'Cost by Tier'!$C$5:$C$124,$C12,'Cost by Tier'!$E$5:$E$124,"FAM")</f>
        <v>4064.61</v>
      </c>
      <c r="H12" s="42" t="n">
        <f aca="false">G12*12</f>
        <v>48775.32</v>
      </c>
      <c r="I12" s="42" t="n">
        <f aca="false">F12+H12</f>
        <v>83575.32</v>
      </c>
      <c r="J12" s="42" t="n">
        <f aca="false">SUMIFS('Cost by Tier'!$Q$5:$Q$124,'Cost by Tier'!$C$5:$C$124,$C12,'Cost by Tier'!$E$5:$E$124,"EE")+SUMIFS('Cost by Tier'!$Q$5:$Q$124,'Cost by Tier'!$C$5:$C$124,$C12,'Cost by Tier'!$E$5:$E$124,"ES")+2*SUMIFS('Cost by Tier'!$Q$5:$Q$124,'Cost by Tier'!$C$5:$C$124,$C12,'Cost by Tier'!$E$5:$E$124,"FAM")</f>
        <v>83775.32</v>
      </c>
      <c r="K12" s="42" t="n">
        <f aca="false">F12-Assumptions!$D$14</f>
        <v>0</v>
      </c>
    </row>
    <row r="13" customFormat="false" ht="15" hidden="false" customHeight="false" outlineLevel="0" collapsed="false">
      <c r="A13" s="11" t="s">
        <v>32</v>
      </c>
      <c r="B13" s="11" t="s">
        <v>139</v>
      </c>
      <c r="C13" s="11" t="s">
        <v>140</v>
      </c>
      <c r="D13" s="33" t="str">
        <f aca="false">INDEX('Plan Design'!$E$5:$E$34,MATCH($C13,'Plan Design'!$C$5:$C$34,0))</f>
        <v>Y</v>
      </c>
      <c r="E13" s="19" t="n">
        <f aca="false">SUMIFS('Cost by Tier'!$J$5:$J$124,'Cost by Tier'!$C$5:$C$124,$C13,'Cost by Tier'!$E$5:$E$124,"EE")+SUMIFS('Cost by Tier'!$J$5:$J$124,'Cost by Tier'!$C$5:$C$124,$C13,'Cost by Tier'!$E$5:$E$124,"ES")+2*SUMIFS('Cost by Tier'!$J$5:$J$124,'Cost by Tier'!$C$5:$C$124,$C13,'Cost by Tier'!$E$5:$E$124,"FAM")</f>
        <v>2900</v>
      </c>
      <c r="F13" s="37" t="n">
        <f aca="false">E13*12</f>
        <v>34800</v>
      </c>
      <c r="G13" s="19" t="n">
        <f aca="false">SUMIFS('Cost by Tier'!$K$5:$K$124,'Cost by Tier'!$C$5:$C$124,$C13,'Cost by Tier'!$E$5:$E$124,"EE")+SUMIFS('Cost by Tier'!$K$5:$K$124,'Cost by Tier'!$C$5:$C$124,$C13,'Cost by Tier'!$E$5:$E$124,"ES")+2*SUMIFS('Cost by Tier'!$K$5:$K$124,'Cost by Tier'!$C$5:$C$124,$C13,'Cost by Tier'!$E$5:$E$124,"FAM")</f>
        <v>1194.37</v>
      </c>
      <c r="H13" s="14" t="n">
        <f aca="false">G13*12</f>
        <v>14332.44</v>
      </c>
      <c r="I13" s="14" t="n">
        <f aca="false">F13+H13</f>
        <v>49132.44</v>
      </c>
      <c r="J13" s="14" t="n">
        <f aca="false">SUMIFS('Cost by Tier'!$Q$5:$Q$124,'Cost by Tier'!$C$5:$C$124,$C13,'Cost by Tier'!$E$5:$E$124,"EE")+SUMIFS('Cost by Tier'!$Q$5:$Q$124,'Cost by Tier'!$C$5:$C$124,$C13,'Cost by Tier'!$E$5:$E$124,"ES")+2*SUMIFS('Cost by Tier'!$Q$5:$Q$124,'Cost by Tier'!$C$5:$C$124,$C13,'Cost by Tier'!$E$5:$E$124,"FAM")</f>
        <v>59832.44</v>
      </c>
      <c r="K13" s="14" t="n">
        <f aca="false">F13-Assumptions!$D$14</f>
        <v>0</v>
      </c>
    </row>
    <row r="14" customFormat="false" ht="15" hidden="false" customHeight="false" outlineLevel="0" collapsed="false">
      <c r="A14" s="38" t="s">
        <v>32</v>
      </c>
      <c r="B14" s="38" t="s">
        <v>141</v>
      </c>
      <c r="C14" s="38" t="s">
        <v>142</v>
      </c>
      <c r="D14" s="39" t="str">
        <f aca="false">INDEX('Plan Design'!$E$5:$E$34,MATCH($C14,'Plan Design'!$C$5:$C$34,0))</f>
        <v>N</v>
      </c>
      <c r="E14" s="41" t="n">
        <f aca="false">SUMIFS('Cost by Tier'!$J$5:$J$124,'Cost by Tier'!$C$5:$C$124,$C14,'Cost by Tier'!$E$5:$E$124,"EE")+SUMIFS('Cost by Tier'!$J$5:$J$124,'Cost by Tier'!$C$5:$C$124,$C14,'Cost by Tier'!$E$5:$E$124,"ES")+2*SUMIFS('Cost by Tier'!$J$5:$J$124,'Cost by Tier'!$C$5:$C$124,$C14,'Cost by Tier'!$E$5:$E$124,"FAM")</f>
        <v>2900</v>
      </c>
      <c r="F14" s="45" t="n">
        <f aca="false">E14*12</f>
        <v>34800</v>
      </c>
      <c r="G14" s="41" t="n">
        <f aca="false">SUMIFS('Cost by Tier'!$K$5:$K$124,'Cost by Tier'!$C$5:$C$124,$C14,'Cost by Tier'!$E$5:$E$124,"EE")+SUMIFS('Cost by Tier'!$K$5:$K$124,'Cost by Tier'!$C$5:$C$124,$C14,'Cost by Tier'!$E$5:$E$124,"ES")+2*SUMIFS('Cost by Tier'!$K$5:$K$124,'Cost by Tier'!$C$5:$C$124,$C14,'Cost by Tier'!$E$5:$E$124,"FAM")</f>
        <v>2981.21</v>
      </c>
      <c r="H14" s="42" t="n">
        <f aca="false">G14*12</f>
        <v>35774.52</v>
      </c>
      <c r="I14" s="42" t="n">
        <f aca="false">F14+H14</f>
        <v>70574.52</v>
      </c>
      <c r="J14" s="42" t="n">
        <f aca="false">SUMIFS('Cost by Tier'!$Q$5:$Q$124,'Cost by Tier'!$C$5:$C$124,$C14,'Cost by Tier'!$E$5:$E$124,"EE")+SUMIFS('Cost by Tier'!$Q$5:$Q$124,'Cost by Tier'!$C$5:$C$124,$C14,'Cost by Tier'!$E$5:$E$124,"ES")+2*SUMIFS('Cost by Tier'!$Q$5:$Q$124,'Cost by Tier'!$C$5:$C$124,$C14,'Cost by Tier'!$E$5:$E$124,"FAM")</f>
        <v>84774.52</v>
      </c>
      <c r="K14" s="42" t="n">
        <f aca="false">F14-Assumptions!$D$14</f>
        <v>0</v>
      </c>
    </row>
    <row r="15" customFormat="false" ht="15" hidden="false" customHeight="false" outlineLevel="0" collapsed="false">
      <c r="A15" s="11" t="s">
        <v>32</v>
      </c>
      <c r="B15" s="11" t="s">
        <v>33</v>
      </c>
      <c r="C15" s="11" t="s">
        <v>144</v>
      </c>
      <c r="D15" s="33" t="str">
        <f aca="false">INDEX('Plan Design'!$E$5:$E$34,MATCH($C15,'Plan Design'!$C$5:$C$34,0))</f>
        <v>N</v>
      </c>
      <c r="E15" s="19" t="n">
        <f aca="false">SUMIFS('Cost by Tier'!$J$5:$J$124,'Cost by Tier'!$C$5:$C$124,$C15,'Cost by Tier'!$E$5:$E$124,"EE")+SUMIFS('Cost by Tier'!$J$5:$J$124,'Cost by Tier'!$C$5:$C$124,$C15,'Cost by Tier'!$E$5:$E$124,"ES")+2*SUMIFS('Cost by Tier'!$J$5:$J$124,'Cost by Tier'!$C$5:$C$124,$C15,'Cost by Tier'!$E$5:$E$124,"FAM")</f>
        <v>2900</v>
      </c>
      <c r="F15" s="37" t="n">
        <f aca="false">E15*12</f>
        <v>34800</v>
      </c>
      <c r="G15" s="19" t="n">
        <f aca="false">SUMIFS('Cost by Tier'!$K$5:$K$124,'Cost by Tier'!$C$5:$C$124,$C15,'Cost by Tier'!$E$5:$E$124,"EE")+SUMIFS('Cost by Tier'!$K$5:$K$124,'Cost by Tier'!$C$5:$C$124,$C15,'Cost by Tier'!$E$5:$E$124,"ES")+2*SUMIFS('Cost by Tier'!$K$5:$K$124,'Cost by Tier'!$C$5:$C$124,$C15,'Cost by Tier'!$E$5:$E$124,"FAM")</f>
        <v>597.22</v>
      </c>
      <c r="H15" s="14" t="n">
        <f aca="false">G15*12</f>
        <v>7166.64</v>
      </c>
      <c r="I15" s="14" t="n">
        <f aca="false">F15+H15</f>
        <v>41966.64</v>
      </c>
      <c r="J15" s="14" t="n">
        <f aca="false">SUMIFS('Cost by Tier'!$Q$5:$Q$124,'Cost by Tier'!$C$5:$C$124,$C15,'Cost by Tier'!$E$5:$E$124,"EE")+SUMIFS('Cost by Tier'!$Q$5:$Q$124,'Cost by Tier'!$C$5:$C$124,$C15,'Cost by Tier'!$E$5:$E$124,"ES")+2*SUMIFS('Cost by Tier'!$Q$5:$Q$124,'Cost by Tier'!$C$5:$C$124,$C15,'Cost by Tier'!$E$5:$E$124,"FAM")</f>
        <v>77166.64</v>
      </c>
      <c r="K15" s="14" t="n">
        <f aca="false">F15-Assumptions!$D$14</f>
        <v>0</v>
      </c>
    </row>
    <row r="16" customFormat="false" ht="15" hidden="false" customHeight="false" outlineLevel="0" collapsed="false">
      <c r="A16" s="38" t="s">
        <v>35</v>
      </c>
      <c r="B16" s="38" t="s">
        <v>36</v>
      </c>
      <c r="C16" s="38" t="s">
        <v>148</v>
      </c>
      <c r="D16" s="39" t="str">
        <f aca="false">INDEX('Plan Design'!$E$5:$E$34,MATCH($C16,'Plan Design'!$C$5:$C$34,0))</f>
        <v>N</v>
      </c>
      <c r="E16" s="41" t="n">
        <f aca="false">SUMIFS('Cost by Tier'!$J$5:$J$124,'Cost by Tier'!$C$5:$C$124,$C16,'Cost by Tier'!$E$5:$E$124,"EE")+SUMIFS('Cost by Tier'!$J$5:$J$124,'Cost by Tier'!$C$5:$C$124,$C16,'Cost by Tier'!$E$5:$E$124,"ES")+2*SUMIFS('Cost by Tier'!$J$5:$J$124,'Cost by Tier'!$C$5:$C$124,$C16,'Cost by Tier'!$E$5:$E$124,"FAM")</f>
        <v>2900</v>
      </c>
      <c r="F16" s="45" t="n">
        <f aca="false">E16*12</f>
        <v>34800</v>
      </c>
      <c r="G16" s="41" t="n">
        <f aca="false">SUMIFS('Cost by Tier'!$K$5:$K$124,'Cost by Tier'!$C$5:$C$124,$C16,'Cost by Tier'!$E$5:$E$124,"EE")+SUMIFS('Cost by Tier'!$K$5:$K$124,'Cost by Tier'!$C$5:$C$124,$C16,'Cost by Tier'!$E$5:$E$124,"ES")+2*SUMIFS('Cost by Tier'!$K$5:$K$124,'Cost by Tier'!$C$5:$C$124,$C16,'Cost by Tier'!$E$5:$E$124,"FAM")</f>
        <v>706</v>
      </c>
      <c r="H16" s="42" t="n">
        <f aca="false">G16*12</f>
        <v>8472</v>
      </c>
      <c r="I16" s="42" t="n">
        <f aca="false">F16+H16</f>
        <v>43272</v>
      </c>
      <c r="J16" s="42" t="n">
        <f aca="false">SUMIFS('Cost by Tier'!$Q$5:$Q$124,'Cost by Tier'!$C$5:$C$124,$C16,'Cost by Tier'!$E$5:$E$124,"EE")+SUMIFS('Cost by Tier'!$Q$5:$Q$124,'Cost by Tier'!$C$5:$C$124,$C16,'Cost by Tier'!$E$5:$E$124,"ES")+2*SUMIFS('Cost by Tier'!$Q$5:$Q$124,'Cost by Tier'!$C$5:$C$124,$C16,'Cost by Tier'!$E$5:$E$124,"FAM")</f>
        <v>60972</v>
      </c>
      <c r="K16" s="42" t="n">
        <f aca="false">F16-Assumptions!$D$14</f>
        <v>0</v>
      </c>
    </row>
    <row r="17" customFormat="false" ht="15" hidden="false" customHeight="false" outlineLevel="0" collapsed="false">
      <c r="A17" s="11" t="s">
        <v>35</v>
      </c>
      <c r="B17" s="11" t="s">
        <v>153</v>
      </c>
      <c r="C17" s="11" t="s">
        <v>154</v>
      </c>
      <c r="D17" s="33" t="str">
        <f aca="false">INDEX('Plan Design'!$E$5:$E$34,MATCH($C17,'Plan Design'!$C$5:$C$34,0))</f>
        <v>N</v>
      </c>
      <c r="E17" s="19" t="n">
        <f aca="false">SUMIFS('Cost by Tier'!$J$5:$J$124,'Cost by Tier'!$C$5:$C$124,$C17,'Cost by Tier'!$E$5:$E$124,"EE")+SUMIFS('Cost by Tier'!$J$5:$J$124,'Cost by Tier'!$C$5:$C$124,$C17,'Cost by Tier'!$E$5:$E$124,"ES")+2*SUMIFS('Cost by Tier'!$J$5:$J$124,'Cost by Tier'!$C$5:$C$124,$C17,'Cost by Tier'!$E$5:$E$124,"FAM")</f>
        <v>2900</v>
      </c>
      <c r="F17" s="37" t="n">
        <f aca="false">E17*12</f>
        <v>34800</v>
      </c>
      <c r="G17" s="19" t="n">
        <f aca="false">SUMIFS('Cost by Tier'!$K$5:$K$124,'Cost by Tier'!$C$5:$C$124,$C17,'Cost by Tier'!$E$5:$E$124,"EE")+SUMIFS('Cost by Tier'!$K$5:$K$124,'Cost by Tier'!$C$5:$C$124,$C17,'Cost by Tier'!$E$5:$E$124,"ES")+2*SUMIFS('Cost by Tier'!$K$5:$K$124,'Cost by Tier'!$C$5:$C$124,$C17,'Cost by Tier'!$E$5:$E$124,"FAM")</f>
        <v>848</v>
      </c>
      <c r="H17" s="14" t="n">
        <f aca="false">G17*12</f>
        <v>10176</v>
      </c>
      <c r="I17" s="14" t="n">
        <f aca="false">F17+H17</f>
        <v>44976</v>
      </c>
      <c r="J17" s="14" t="n">
        <f aca="false">SUMIFS('Cost by Tier'!$Q$5:$Q$124,'Cost by Tier'!$C$5:$C$124,$C17,'Cost by Tier'!$E$5:$E$124,"EE")+SUMIFS('Cost by Tier'!$Q$5:$Q$124,'Cost by Tier'!$C$5:$C$124,$C17,'Cost by Tier'!$E$5:$E$124,"ES")+2*SUMIFS('Cost by Tier'!$Q$5:$Q$124,'Cost by Tier'!$C$5:$C$124,$C17,'Cost by Tier'!$E$5:$E$124,"FAM")</f>
        <v>63376</v>
      </c>
      <c r="K17" s="14" t="n">
        <f aca="false">F17-Assumptions!$D$14</f>
        <v>0</v>
      </c>
    </row>
    <row r="18" customFormat="false" ht="15" hidden="false" customHeight="false" outlineLevel="0" collapsed="false">
      <c r="A18" s="38" t="s">
        <v>35</v>
      </c>
      <c r="B18" s="38" t="s">
        <v>159</v>
      </c>
      <c r="C18" s="38" t="s">
        <v>160</v>
      </c>
      <c r="D18" s="39" t="str">
        <f aca="false">INDEX('Plan Design'!$E$5:$E$34,MATCH($C18,'Plan Design'!$C$5:$C$34,0))</f>
        <v>Y</v>
      </c>
      <c r="E18" s="41" t="n">
        <f aca="false">SUMIFS('Cost by Tier'!$J$5:$J$124,'Cost by Tier'!$C$5:$C$124,$C18,'Cost by Tier'!$E$5:$E$124,"EE")+SUMIFS('Cost by Tier'!$J$5:$J$124,'Cost by Tier'!$C$5:$C$124,$C18,'Cost by Tier'!$E$5:$E$124,"ES")+2*SUMIFS('Cost by Tier'!$J$5:$J$124,'Cost by Tier'!$C$5:$C$124,$C18,'Cost by Tier'!$E$5:$E$124,"FAM")</f>
        <v>2900</v>
      </c>
      <c r="F18" s="45" t="n">
        <f aca="false">E18*12</f>
        <v>34800</v>
      </c>
      <c r="G18" s="41" t="n">
        <f aca="false">SUMIFS('Cost by Tier'!$K$5:$K$124,'Cost by Tier'!$C$5:$C$124,$C18,'Cost by Tier'!$E$5:$E$124,"EE")+SUMIFS('Cost by Tier'!$K$5:$K$124,'Cost by Tier'!$C$5:$C$124,$C18,'Cost by Tier'!$E$5:$E$124,"ES")+2*SUMIFS('Cost by Tier'!$K$5:$K$124,'Cost by Tier'!$C$5:$C$124,$C18,'Cost by Tier'!$E$5:$E$124,"FAM")</f>
        <v>941</v>
      </c>
      <c r="H18" s="42" t="n">
        <f aca="false">G18*12</f>
        <v>11292</v>
      </c>
      <c r="I18" s="42" t="n">
        <f aca="false">F18+H18</f>
        <v>46092</v>
      </c>
      <c r="J18" s="42" t="n">
        <f aca="false">SUMIFS('Cost by Tier'!$Q$5:$Q$124,'Cost by Tier'!$C$5:$C$124,$C18,'Cost by Tier'!$E$5:$E$124,"EE")+SUMIFS('Cost by Tier'!$Q$5:$Q$124,'Cost by Tier'!$C$5:$C$124,$C18,'Cost by Tier'!$E$5:$E$124,"ES")+2*SUMIFS('Cost by Tier'!$Q$5:$Q$124,'Cost by Tier'!$C$5:$C$124,$C18,'Cost by Tier'!$E$5:$E$124,"FAM")</f>
        <v>55742</v>
      </c>
      <c r="K18" s="42" t="n">
        <f aca="false">F18-Assumptions!$D$14</f>
        <v>0</v>
      </c>
    </row>
    <row r="19" customFormat="false" ht="15" hidden="false" customHeight="false" outlineLevel="0" collapsed="false">
      <c r="A19" s="11" t="s">
        <v>35</v>
      </c>
      <c r="B19" s="11" t="s">
        <v>162</v>
      </c>
      <c r="C19" s="11" t="s">
        <v>163</v>
      </c>
      <c r="D19" s="33" t="str">
        <f aca="false">INDEX('Plan Design'!$E$5:$E$34,MATCH($C19,'Plan Design'!$C$5:$C$34,0))</f>
        <v>Y</v>
      </c>
      <c r="E19" s="19" t="n">
        <f aca="false">SUMIFS('Cost by Tier'!$J$5:$J$124,'Cost by Tier'!$C$5:$C$124,$C19,'Cost by Tier'!$E$5:$E$124,"EE")+SUMIFS('Cost by Tier'!$J$5:$J$124,'Cost by Tier'!$C$5:$C$124,$C19,'Cost by Tier'!$E$5:$E$124,"ES")+2*SUMIFS('Cost by Tier'!$J$5:$J$124,'Cost by Tier'!$C$5:$C$124,$C19,'Cost by Tier'!$E$5:$E$124,"FAM")</f>
        <v>2900</v>
      </c>
      <c r="F19" s="37" t="n">
        <f aca="false">E19*12</f>
        <v>34800</v>
      </c>
      <c r="G19" s="19" t="n">
        <f aca="false">SUMIFS('Cost by Tier'!$K$5:$K$124,'Cost by Tier'!$C$5:$C$124,$C19,'Cost by Tier'!$E$5:$E$124,"EE")+SUMIFS('Cost by Tier'!$K$5:$K$124,'Cost by Tier'!$C$5:$C$124,$C19,'Cost by Tier'!$E$5:$E$124,"ES")+2*SUMIFS('Cost by Tier'!$K$5:$K$124,'Cost by Tier'!$C$5:$C$124,$C19,'Cost by Tier'!$E$5:$E$124,"FAM")</f>
        <v>1724</v>
      </c>
      <c r="H19" s="14" t="n">
        <f aca="false">G19*12</f>
        <v>20688</v>
      </c>
      <c r="I19" s="14" t="n">
        <f aca="false">F19+H19</f>
        <v>55488</v>
      </c>
      <c r="J19" s="14" t="n">
        <f aca="false">SUMIFS('Cost by Tier'!$Q$5:$Q$124,'Cost by Tier'!$C$5:$C$124,$C19,'Cost by Tier'!$E$5:$E$124,"EE")+SUMIFS('Cost by Tier'!$Q$5:$Q$124,'Cost by Tier'!$C$5:$C$124,$C19,'Cost by Tier'!$E$5:$E$124,"ES")+2*SUMIFS('Cost by Tier'!$Q$5:$Q$124,'Cost by Tier'!$C$5:$C$124,$C19,'Cost by Tier'!$E$5:$E$124,"FAM")</f>
        <v>68638</v>
      </c>
      <c r="K19" s="14" t="n">
        <f aca="false">F19-Assumptions!$D$14</f>
        <v>0</v>
      </c>
    </row>
    <row r="20" customFormat="false" ht="15" hidden="false" customHeight="false" outlineLevel="0" collapsed="false">
      <c r="A20" s="38" t="s">
        <v>35</v>
      </c>
      <c r="B20" s="38" t="s">
        <v>164</v>
      </c>
      <c r="C20" s="38" t="s">
        <v>165</v>
      </c>
      <c r="D20" s="39" t="str">
        <f aca="false">INDEX('Plan Design'!$E$5:$E$34,MATCH($C20,'Plan Design'!$C$5:$C$34,0))</f>
        <v>N</v>
      </c>
      <c r="E20" s="41" t="n">
        <f aca="false">SUMIFS('Cost by Tier'!$J$5:$J$124,'Cost by Tier'!$C$5:$C$124,$C20,'Cost by Tier'!$E$5:$E$124,"EE")+SUMIFS('Cost by Tier'!$J$5:$J$124,'Cost by Tier'!$C$5:$C$124,$C20,'Cost by Tier'!$E$5:$E$124,"ES")+2*SUMIFS('Cost by Tier'!$J$5:$J$124,'Cost by Tier'!$C$5:$C$124,$C20,'Cost by Tier'!$E$5:$E$124,"FAM")</f>
        <v>2900</v>
      </c>
      <c r="F20" s="45" t="n">
        <f aca="false">E20*12</f>
        <v>34800</v>
      </c>
      <c r="G20" s="41" t="n">
        <f aca="false">SUMIFS('Cost by Tier'!$K$5:$K$124,'Cost by Tier'!$C$5:$C$124,$C20,'Cost by Tier'!$E$5:$E$124,"EE")+SUMIFS('Cost by Tier'!$K$5:$K$124,'Cost by Tier'!$C$5:$C$124,$C20,'Cost by Tier'!$E$5:$E$124,"ES")+2*SUMIFS('Cost by Tier'!$K$5:$K$124,'Cost by Tier'!$C$5:$C$124,$C20,'Cost by Tier'!$E$5:$E$124,"FAM")</f>
        <v>1974</v>
      </c>
      <c r="H20" s="42" t="n">
        <f aca="false">G20*12</f>
        <v>23688</v>
      </c>
      <c r="I20" s="42" t="n">
        <f aca="false">F20+H20</f>
        <v>58488</v>
      </c>
      <c r="J20" s="42" t="n">
        <f aca="false">SUMIFS('Cost by Tier'!$Q$5:$Q$124,'Cost by Tier'!$C$5:$C$124,$C20,'Cost by Tier'!$E$5:$E$124,"EE")+SUMIFS('Cost by Tier'!$Q$5:$Q$124,'Cost by Tier'!$C$5:$C$124,$C20,'Cost by Tier'!$E$5:$E$124,"ES")+2*SUMIFS('Cost by Tier'!$Q$5:$Q$124,'Cost by Tier'!$C$5:$C$124,$C20,'Cost by Tier'!$E$5:$E$124,"FAM")</f>
        <v>76188</v>
      </c>
      <c r="K20" s="42" t="n">
        <f aca="false">F20-Assumptions!$D$14</f>
        <v>0</v>
      </c>
    </row>
    <row r="21" customFormat="false" ht="15" hidden="false" customHeight="false" outlineLevel="0" collapsed="false">
      <c r="A21" s="11" t="s">
        <v>35</v>
      </c>
      <c r="B21" s="11" t="s">
        <v>166</v>
      </c>
      <c r="C21" s="11" t="s">
        <v>167</v>
      </c>
      <c r="D21" s="33" t="str">
        <f aca="false">INDEX('Plan Design'!$E$5:$E$34,MATCH($C21,'Plan Design'!$C$5:$C$34,0))</f>
        <v>N</v>
      </c>
      <c r="E21" s="19" t="n">
        <f aca="false">SUMIFS('Cost by Tier'!$J$5:$J$124,'Cost by Tier'!$C$5:$C$124,$C21,'Cost by Tier'!$E$5:$E$124,"EE")+SUMIFS('Cost by Tier'!$J$5:$J$124,'Cost by Tier'!$C$5:$C$124,$C21,'Cost by Tier'!$E$5:$E$124,"ES")+2*SUMIFS('Cost by Tier'!$J$5:$J$124,'Cost by Tier'!$C$5:$C$124,$C21,'Cost by Tier'!$E$5:$E$124,"FAM")</f>
        <v>2900</v>
      </c>
      <c r="F21" s="37" t="n">
        <f aca="false">E21*12</f>
        <v>34800</v>
      </c>
      <c r="G21" s="19" t="n">
        <f aca="false">SUMIFS('Cost by Tier'!$K$5:$K$124,'Cost by Tier'!$C$5:$C$124,$C21,'Cost by Tier'!$E$5:$E$124,"EE")+SUMIFS('Cost by Tier'!$K$5:$K$124,'Cost by Tier'!$C$5:$C$124,$C21,'Cost by Tier'!$E$5:$E$124,"ES")+2*SUMIFS('Cost by Tier'!$K$5:$K$124,'Cost by Tier'!$C$5:$C$124,$C21,'Cost by Tier'!$E$5:$E$124,"FAM")</f>
        <v>2059</v>
      </c>
      <c r="H21" s="14" t="n">
        <f aca="false">G21*12</f>
        <v>24708</v>
      </c>
      <c r="I21" s="14" t="n">
        <f aca="false">F21+H21</f>
        <v>59508</v>
      </c>
      <c r="J21" s="14" t="n">
        <f aca="false">SUMIFS('Cost by Tier'!$Q$5:$Q$124,'Cost by Tier'!$C$5:$C$124,$C21,'Cost by Tier'!$E$5:$E$124,"EE")+SUMIFS('Cost by Tier'!$Q$5:$Q$124,'Cost by Tier'!$C$5:$C$124,$C21,'Cost by Tier'!$E$5:$E$124,"ES")+2*SUMIFS('Cost by Tier'!$Q$5:$Q$124,'Cost by Tier'!$C$5:$C$124,$C21,'Cost by Tier'!$E$5:$E$124,"FAM")</f>
        <v>77908</v>
      </c>
      <c r="K21" s="14" t="n">
        <f aca="false">F21-Assumptions!$D$14</f>
        <v>0</v>
      </c>
    </row>
    <row r="22" customFormat="false" ht="15" hidden="false" customHeight="false" outlineLevel="0" collapsed="false">
      <c r="A22" s="38" t="s">
        <v>35</v>
      </c>
      <c r="B22" s="38" t="s">
        <v>170</v>
      </c>
      <c r="C22" s="38" t="s">
        <v>171</v>
      </c>
      <c r="D22" s="39" t="str">
        <f aca="false">INDEX('Plan Design'!$E$5:$E$34,MATCH($C22,'Plan Design'!$C$5:$C$34,0))</f>
        <v>N</v>
      </c>
      <c r="E22" s="41" t="n">
        <f aca="false">SUMIFS('Cost by Tier'!$J$5:$J$124,'Cost by Tier'!$C$5:$C$124,$C22,'Cost by Tier'!$E$5:$E$124,"EE")+SUMIFS('Cost by Tier'!$J$5:$J$124,'Cost by Tier'!$C$5:$C$124,$C22,'Cost by Tier'!$E$5:$E$124,"ES")+2*SUMIFS('Cost by Tier'!$J$5:$J$124,'Cost by Tier'!$C$5:$C$124,$C22,'Cost by Tier'!$E$5:$E$124,"FAM")</f>
        <v>2900</v>
      </c>
      <c r="F22" s="45" t="n">
        <f aca="false">E22*12</f>
        <v>34800</v>
      </c>
      <c r="G22" s="41" t="n">
        <f aca="false">SUMIFS('Cost by Tier'!$K$5:$K$124,'Cost by Tier'!$C$5:$C$124,$C22,'Cost by Tier'!$E$5:$E$124,"EE")+SUMIFS('Cost by Tier'!$K$5:$K$124,'Cost by Tier'!$C$5:$C$124,$C22,'Cost by Tier'!$E$5:$E$124,"ES")+2*SUMIFS('Cost by Tier'!$K$5:$K$124,'Cost by Tier'!$C$5:$C$124,$C22,'Cost by Tier'!$E$5:$E$124,"FAM")</f>
        <v>2543</v>
      </c>
      <c r="H22" s="42" t="n">
        <f aca="false">G22*12</f>
        <v>30516</v>
      </c>
      <c r="I22" s="42" t="n">
        <f aca="false">F22+H22</f>
        <v>65316</v>
      </c>
      <c r="J22" s="42" t="n">
        <f aca="false">SUMIFS('Cost by Tier'!$Q$5:$Q$124,'Cost by Tier'!$C$5:$C$124,$C22,'Cost by Tier'!$E$5:$E$124,"EE")+SUMIFS('Cost by Tier'!$Q$5:$Q$124,'Cost by Tier'!$C$5:$C$124,$C22,'Cost by Tier'!$E$5:$E$124,"ES")+2*SUMIFS('Cost by Tier'!$Q$5:$Q$124,'Cost by Tier'!$C$5:$C$124,$C22,'Cost by Tier'!$E$5:$E$124,"FAM")</f>
        <v>76016</v>
      </c>
      <c r="K22" s="42" t="n">
        <f aca="false">F22-Assumptions!$D$14</f>
        <v>0</v>
      </c>
    </row>
    <row r="23" customFormat="false" ht="15" hidden="false" customHeight="false" outlineLevel="0" collapsed="false">
      <c r="A23" s="11" t="s">
        <v>35</v>
      </c>
      <c r="B23" s="11" t="s">
        <v>175</v>
      </c>
      <c r="C23" s="11" t="s">
        <v>176</v>
      </c>
      <c r="D23" s="33" t="str">
        <f aca="false">INDEX('Plan Design'!$E$5:$E$34,MATCH($C23,'Plan Design'!$C$5:$C$34,0))</f>
        <v>N</v>
      </c>
      <c r="E23" s="19" t="n">
        <f aca="false">SUMIFS('Cost by Tier'!$J$5:$J$124,'Cost by Tier'!$C$5:$C$124,$C23,'Cost by Tier'!$E$5:$E$124,"EE")+SUMIFS('Cost by Tier'!$J$5:$J$124,'Cost by Tier'!$C$5:$C$124,$C23,'Cost by Tier'!$E$5:$E$124,"ES")+2*SUMIFS('Cost by Tier'!$J$5:$J$124,'Cost by Tier'!$C$5:$C$124,$C23,'Cost by Tier'!$E$5:$E$124,"FAM")</f>
        <v>2900</v>
      </c>
      <c r="F23" s="37" t="n">
        <f aca="false">E23*12</f>
        <v>34800</v>
      </c>
      <c r="G23" s="19" t="n">
        <f aca="false">SUMIFS('Cost by Tier'!$K$5:$K$124,'Cost by Tier'!$C$5:$C$124,$C23,'Cost by Tier'!$E$5:$E$124,"EE")+SUMIFS('Cost by Tier'!$K$5:$K$124,'Cost by Tier'!$C$5:$C$124,$C23,'Cost by Tier'!$E$5:$E$124,"ES")+2*SUMIFS('Cost by Tier'!$K$5:$K$124,'Cost by Tier'!$C$5:$C$124,$C23,'Cost by Tier'!$E$5:$E$124,"FAM")</f>
        <v>2705</v>
      </c>
      <c r="H23" s="14" t="n">
        <f aca="false">G23*12</f>
        <v>32460</v>
      </c>
      <c r="I23" s="14" t="n">
        <f aca="false">F23+H23</f>
        <v>67260</v>
      </c>
      <c r="J23" s="14" t="n">
        <f aca="false">SUMIFS('Cost by Tier'!$Q$5:$Q$124,'Cost by Tier'!$C$5:$C$124,$C23,'Cost by Tier'!$E$5:$E$124,"EE")+SUMIFS('Cost by Tier'!$Q$5:$Q$124,'Cost by Tier'!$C$5:$C$124,$C23,'Cost by Tier'!$E$5:$E$124,"ES")+2*SUMIFS('Cost by Tier'!$Q$5:$Q$124,'Cost by Tier'!$C$5:$C$124,$C23,'Cost by Tier'!$E$5:$E$124,"FAM")</f>
        <v>70960</v>
      </c>
      <c r="K23" s="14" t="n">
        <f aca="false">F23-Assumptions!$D$14</f>
        <v>0</v>
      </c>
    </row>
    <row r="24" customFormat="false" ht="15" hidden="false" customHeight="false" outlineLevel="0" collapsed="false">
      <c r="A24" s="38" t="s">
        <v>35</v>
      </c>
      <c r="B24" s="38" t="s">
        <v>177</v>
      </c>
      <c r="C24" s="38" t="s">
        <v>178</v>
      </c>
      <c r="D24" s="39" t="str">
        <f aca="false">INDEX('Plan Design'!$E$5:$E$34,MATCH($C24,'Plan Design'!$C$5:$C$34,0))</f>
        <v>N</v>
      </c>
      <c r="E24" s="41" t="n">
        <f aca="false">SUMIFS('Cost by Tier'!$J$5:$J$124,'Cost by Tier'!$C$5:$C$124,$C24,'Cost by Tier'!$E$5:$E$124,"EE")+SUMIFS('Cost by Tier'!$J$5:$J$124,'Cost by Tier'!$C$5:$C$124,$C24,'Cost by Tier'!$E$5:$E$124,"ES")+2*SUMIFS('Cost by Tier'!$J$5:$J$124,'Cost by Tier'!$C$5:$C$124,$C24,'Cost by Tier'!$E$5:$E$124,"FAM")</f>
        <v>2900</v>
      </c>
      <c r="F24" s="45" t="n">
        <f aca="false">E24*12</f>
        <v>34800</v>
      </c>
      <c r="G24" s="41" t="n">
        <f aca="false">SUMIFS('Cost by Tier'!$K$5:$K$124,'Cost by Tier'!$C$5:$C$124,$C24,'Cost by Tier'!$E$5:$E$124,"EE")+SUMIFS('Cost by Tier'!$K$5:$K$124,'Cost by Tier'!$C$5:$C$124,$C24,'Cost by Tier'!$E$5:$E$124,"ES")+2*SUMIFS('Cost by Tier'!$K$5:$K$124,'Cost by Tier'!$C$5:$C$124,$C24,'Cost by Tier'!$E$5:$E$124,"FAM")</f>
        <v>2966</v>
      </c>
      <c r="H24" s="42" t="n">
        <f aca="false">G24*12</f>
        <v>35592</v>
      </c>
      <c r="I24" s="42" t="n">
        <f aca="false">F24+H24</f>
        <v>70392</v>
      </c>
      <c r="J24" s="42" t="n">
        <f aca="false">SUMIFS('Cost by Tier'!$Q$5:$Q$124,'Cost by Tier'!$C$5:$C$124,$C24,'Cost by Tier'!$E$5:$E$124,"EE")+SUMIFS('Cost by Tier'!$Q$5:$Q$124,'Cost by Tier'!$C$5:$C$124,$C24,'Cost by Tier'!$E$5:$E$124,"ES")+2*SUMIFS('Cost by Tier'!$Q$5:$Q$124,'Cost by Tier'!$C$5:$C$124,$C24,'Cost by Tier'!$E$5:$E$124,"FAM")</f>
        <v>77592</v>
      </c>
      <c r="K24" s="42" t="n">
        <f aca="false">F24-Assumptions!$D$14</f>
        <v>0</v>
      </c>
    </row>
    <row r="25" customFormat="false" ht="15" hidden="false" customHeight="false" outlineLevel="0" collapsed="false">
      <c r="A25" s="11" t="s">
        <v>35</v>
      </c>
      <c r="B25" s="11" t="s">
        <v>179</v>
      </c>
      <c r="C25" s="11" t="s">
        <v>180</v>
      </c>
      <c r="D25" s="33" t="str">
        <f aca="false">INDEX('Plan Design'!$E$5:$E$34,MATCH($C25,'Plan Design'!$C$5:$C$34,0))</f>
        <v>N</v>
      </c>
      <c r="E25" s="19" t="n">
        <f aca="false">SUMIFS('Cost by Tier'!$J$5:$J$124,'Cost by Tier'!$C$5:$C$124,$C25,'Cost by Tier'!$E$5:$E$124,"EE")+SUMIFS('Cost by Tier'!$J$5:$J$124,'Cost by Tier'!$C$5:$C$124,$C25,'Cost by Tier'!$E$5:$E$124,"ES")+2*SUMIFS('Cost by Tier'!$J$5:$J$124,'Cost by Tier'!$C$5:$C$124,$C25,'Cost by Tier'!$E$5:$E$124,"FAM")</f>
        <v>2900</v>
      </c>
      <c r="F25" s="37" t="n">
        <f aca="false">E25*12</f>
        <v>34800</v>
      </c>
      <c r="G25" s="19" t="n">
        <f aca="false">SUMIFS('Cost by Tier'!$K$5:$K$124,'Cost by Tier'!$C$5:$C$124,$C25,'Cost by Tier'!$E$5:$E$124,"EE")+SUMIFS('Cost by Tier'!$K$5:$K$124,'Cost by Tier'!$C$5:$C$124,$C25,'Cost by Tier'!$E$5:$E$124,"ES")+2*SUMIFS('Cost by Tier'!$K$5:$K$124,'Cost by Tier'!$C$5:$C$124,$C25,'Cost by Tier'!$E$5:$E$124,"FAM")</f>
        <v>3022</v>
      </c>
      <c r="H25" s="14" t="n">
        <f aca="false">G25*12</f>
        <v>36264</v>
      </c>
      <c r="I25" s="14" t="n">
        <f aca="false">F25+H25</f>
        <v>71064</v>
      </c>
      <c r="J25" s="14" t="n">
        <f aca="false">SUMIFS('Cost by Tier'!$Q$5:$Q$124,'Cost by Tier'!$C$5:$C$124,$C25,'Cost by Tier'!$E$5:$E$124,"EE")+SUMIFS('Cost by Tier'!$Q$5:$Q$124,'Cost by Tier'!$C$5:$C$124,$C25,'Cost by Tier'!$E$5:$E$124,"ES")+2*SUMIFS('Cost by Tier'!$Q$5:$Q$124,'Cost by Tier'!$C$5:$C$124,$C25,'Cost by Tier'!$E$5:$E$124,"FAM")</f>
        <v>84214</v>
      </c>
      <c r="K25" s="14" t="n">
        <f aca="false">F25-Assumptions!$D$14</f>
        <v>0</v>
      </c>
    </row>
    <row r="26" customFormat="false" ht="15" hidden="false" customHeight="false" outlineLevel="0" collapsed="false">
      <c r="A26" s="38" t="s">
        <v>35</v>
      </c>
      <c r="B26" s="38" t="s">
        <v>181</v>
      </c>
      <c r="C26" s="38" t="s">
        <v>182</v>
      </c>
      <c r="D26" s="39" t="str">
        <f aca="false">INDEX('Plan Design'!$E$5:$E$34,MATCH($C26,'Plan Design'!$C$5:$C$34,0))</f>
        <v>N</v>
      </c>
      <c r="E26" s="41" t="n">
        <f aca="false">SUMIFS('Cost by Tier'!$J$5:$J$124,'Cost by Tier'!$C$5:$C$124,$C26,'Cost by Tier'!$E$5:$E$124,"EE")+SUMIFS('Cost by Tier'!$J$5:$J$124,'Cost by Tier'!$C$5:$C$124,$C26,'Cost by Tier'!$E$5:$E$124,"ES")+2*SUMIFS('Cost by Tier'!$J$5:$J$124,'Cost by Tier'!$C$5:$C$124,$C26,'Cost by Tier'!$E$5:$E$124,"FAM")</f>
        <v>2900</v>
      </c>
      <c r="F26" s="45" t="n">
        <f aca="false">E26*12</f>
        <v>34800</v>
      </c>
      <c r="G26" s="41" t="n">
        <f aca="false">SUMIFS('Cost by Tier'!$K$5:$K$124,'Cost by Tier'!$C$5:$C$124,$C26,'Cost by Tier'!$E$5:$E$124,"EE")+SUMIFS('Cost by Tier'!$K$5:$K$124,'Cost by Tier'!$C$5:$C$124,$C26,'Cost by Tier'!$E$5:$E$124,"ES")+2*SUMIFS('Cost by Tier'!$K$5:$K$124,'Cost by Tier'!$C$5:$C$124,$C26,'Cost by Tier'!$E$5:$E$124,"FAM")</f>
        <v>3093</v>
      </c>
      <c r="H26" s="42" t="n">
        <f aca="false">G26*12</f>
        <v>37116</v>
      </c>
      <c r="I26" s="42" t="n">
        <f aca="false">F26+H26</f>
        <v>71916</v>
      </c>
      <c r="J26" s="42" t="n">
        <f aca="false">SUMIFS('Cost by Tier'!$Q$5:$Q$124,'Cost by Tier'!$C$5:$C$124,$C26,'Cost by Tier'!$E$5:$E$124,"EE")+SUMIFS('Cost by Tier'!$Q$5:$Q$124,'Cost by Tier'!$C$5:$C$124,$C26,'Cost by Tier'!$E$5:$E$124,"ES")+2*SUMIFS('Cost by Tier'!$Q$5:$Q$124,'Cost by Tier'!$C$5:$C$124,$C26,'Cost by Tier'!$E$5:$E$124,"FAM")</f>
        <v>72116</v>
      </c>
      <c r="K26" s="42" t="n">
        <f aca="false">F26-Assumptions!$D$14</f>
        <v>0</v>
      </c>
    </row>
    <row r="27" customFormat="false" ht="15" hidden="false" customHeight="false" outlineLevel="0" collapsed="false">
      <c r="A27" s="11" t="s">
        <v>35</v>
      </c>
      <c r="B27" s="11" t="s">
        <v>183</v>
      </c>
      <c r="C27" s="11" t="s">
        <v>184</v>
      </c>
      <c r="D27" s="33" t="str">
        <f aca="false">INDEX('Plan Design'!$E$5:$E$34,MATCH($C27,'Plan Design'!$C$5:$C$34,0))</f>
        <v>N</v>
      </c>
      <c r="E27" s="19" t="n">
        <f aca="false">SUMIFS('Cost by Tier'!$J$5:$J$124,'Cost by Tier'!$C$5:$C$124,$C27,'Cost by Tier'!$E$5:$E$124,"EE")+SUMIFS('Cost by Tier'!$J$5:$J$124,'Cost by Tier'!$C$5:$C$124,$C27,'Cost by Tier'!$E$5:$E$124,"ES")+2*SUMIFS('Cost by Tier'!$J$5:$J$124,'Cost by Tier'!$C$5:$C$124,$C27,'Cost by Tier'!$E$5:$E$124,"FAM")</f>
        <v>2900</v>
      </c>
      <c r="F27" s="37" t="n">
        <f aca="false">E27*12</f>
        <v>34800</v>
      </c>
      <c r="G27" s="19" t="n">
        <f aca="false">SUMIFS('Cost by Tier'!$K$5:$K$124,'Cost by Tier'!$C$5:$C$124,$C27,'Cost by Tier'!$E$5:$E$124,"EE")+SUMIFS('Cost by Tier'!$K$5:$K$124,'Cost by Tier'!$C$5:$C$124,$C27,'Cost by Tier'!$E$5:$E$124,"ES")+2*SUMIFS('Cost by Tier'!$K$5:$K$124,'Cost by Tier'!$C$5:$C$124,$C27,'Cost by Tier'!$E$5:$E$124,"FAM")</f>
        <v>3378</v>
      </c>
      <c r="H27" s="14" t="n">
        <f aca="false">G27*12</f>
        <v>40536</v>
      </c>
      <c r="I27" s="14" t="n">
        <f aca="false">F27+H27</f>
        <v>75336</v>
      </c>
      <c r="J27" s="14" t="n">
        <f aca="false">SUMIFS('Cost by Tier'!$Q$5:$Q$124,'Cost by Tier'!$C$5:$C$124,$C27,'Cost by Tier'!$E$5:$E$124,"EE")+SUMIFS('Cost by Tier'!$Q$5:$Q$124,'Cost by Tier'!$C$5:$C$124,$C27,'Cost by Tier'!$E$5:$E$124,"ES")+2*SUMIFS('Cost by Tier'!$Q$5:$Q$124,'Cost by Tier'!$C$5:$C$124,$C27,'Cost by Tier'!$E$5:$E$124,"FAM")</f>
        <v>72036</v>
      </c>
      <c r="K27" s="14" t="n">
        <f aca="false">F27-Assumptions!$D$14</f>
        <v>0</v>
      </c>
    </row>
    <row r="28" customFormat="false" ht="15" hidden="false" customHeight="false" outlineLevel="0" collapsed="false">
      <c r="A28" s="38" t="s">
        <v>35</v>
      </c>
      <c r="B28" s="38" t="s">
        <v>185</v>
      </c>
      <c r="C28" s="38" t="s">
        <v>186</v>
      </c>
      <c r="D28" s="39" t="str">
        <f aca="false">INDEX('Plan Design'!$E$5:$E$34,MATCH($C28,'Plan Design'!$C$5:$C$34,0))</f>
        <v>Y</v>
      </c>
      <c r="E28" s="41" t="n">
        <f aca="false">SUMIFS('Cost by Tier'!$J$5:$J$124,'Cost by Tier'!$C$5:$C$124,$C28,'Cost by Tier'!$E$5:$E$124,"EE")+SUMIFS('Cost by Tier'!$J$5:$J$124,'Cost by Tier'!$C$5:$C$124,$C28,'Cost by Tier'!$E$5:$E$124,"ES")+2*SUMIFS('Cost by Tier'!$J$5:$J$124,'Cost by Tier'!$C$5:$C$124,$C28,'Cost by Tier'!$E$5:$E$124,"FAM")</f>
        <v>2900</v>
      </c>
      <c r="F28" s="45" t="n">
        <f aca="false">E28*12</f>
        <v>34800</v>
      </c>
      <c r="G28" s="41" t="n">
        <f aca="false">SUMIFS('Cost by Tier'!$K$5:$K$124,'Cost by Tier'!$C$5:$C$124,$C28,'Cost by Tier'!$E$5:$E$124,"EE")+SUMIFS('Cost by Tier'!$K$5:$K$124,'Cost by Tier'!$C$5:$C$124,$C28,'Cost by Tier'!$E$5:$E$124,"ES")+2*SUMIFS('Cost by Tier'!$K$5:$K$124,'Cost by Tier'!$C$5:$C$124,$C28,'Cost by Tier'!$E$5:$E$124,"FAM")</f>
        <v>2627</v>
      </c>
      <c r="H28" s="42" t="n">
        <f aca="false">G28*12</f>
        <v>31524</v>
      </c>
      <c r="I28" s="42" t="n">
        <f aca="false">F28+H28</f>
        <v>66324</v>
      </c>
      <c r="J28" s="42" t="n">
        <f aca="false">SUMIFS('Cost by Tier'!$Q$5:$Q$124,'Cost by Tier'!$C$5:$C$124,$C28,'Cost by Tier'!$E$5:$E$124,"EE")+SUMIFS('Cost by Tier'!$Q$5:$Q$124,'Cost by Tier'!$C$5:$C$124,$C28,'Cost by Tier'!$E$5:$E$124,"ES")+2*SUMIFS('Cost by Tier'!$Q$5:$Q$124,'Cost by Tier'!$C$5:$C$124,$C28,'Cost by Tier'!$E$5:$E$124,"FAM")</f>
        <v>56024</v>
      </c>
      <c r="K28" s="42" t="n">
        <f aca="false">F28-Assumptions!$D$14</f>
        <v>0</v>
      </c>
    </row>
    <row r="29" customFormat="false" ht="15" hidden="false" customHeight="false" outlineLevel="0" collapsed="false">
      <c r="A29" s="11" t="s">
        <v>35</v>
      </c>
      <c r="B29" s="11" t="s">
        <v>189</v>
      </c>
      <c r="C29" s="11" t="s">
        <v>190</v>
      </c>
      <c r="D29" s="33" t="str">
        <f aca="false">INDEX('Plan Design'!$E$5:$E$34,MATCH($C29,'Plan Design'!$C$5:$C$34,0))</f>
        <v>N</v>
      </c>
      <c r="E29" s="19" t="n">
        <f aca="false">SUMIFS('Cost by Tier'!$J$5:$J$124,'Cost by Tier'!$C$5:$C$124,$C29,'Cost by Tier'!$E$5:$E$124,"EE")+SUMIFS('Cost by Tier'!$J$5:$J$124,'Cost by Tier'!$C$5:$C$124,$C29,'Cost by Tier'!$E$5:$E$124,"ES")+2*SUMIFS('Cost by Tier'!$J$5:$J$124,'Cost by Tier'!$C$5:$C$124,$C29,'Cost by Tier'!$E$5:$E$124,"FAM")</f>
        <v>2900</v>
      </c>
      <c r="F29" s="37" t="n">
        <f aca="false">E29*12</f>
        <v>34800</v>
      </c>
      <c r="G29" s="19" t="n">
        <f aca="false">SUMIFS('Cost by Tier'!$K$5:$K$124,'Cost by Tier'!$C$5:$C$124,$C29,'Cost by Tier'!$E$5:$E$124,"EE")+SUMIFS('Cost by Tier'!$K$5:$K$124,'Cost by Tier'!$C$5:$C$124,$C29,'Cost by Tier'!$E$5:$E$124,"ES")+2*SUMIFS('Cost by Tier'!$K$5:$K$124,'Cost by Tier'!$C$5:$C$124,$C29,'Cost by Tier'!$E$5:$E$124,"FAM")</f>
        <v>4064</v>
      </c>
      <c r="H29" s="14" t="n">
        <f aca="false">G29*12</f>
        <v>48768</v>
      </c>
      <c r="I29" s="14" t="n">
        <f aca="false">F29+H29</f>
        <v>83568</v>
      </c>
      <c r="J29" s="14" t="n">
        <f aca="false">SUMIFS('Cost by Tier'!$Q$5:$Q$124,'Cost by Tier'!$C$5:$C$124,$C29,'Cost by Tier'!$E$5:$E$124,"EE")+SUMIFS('Cost by Tier'!$Q$5:$Q$124,'Cost by Tier'!$C$5:$C$124,$C29,'Cost by Tier'!$E$5:$E$124,"ES")+2*SUMIFS('Cost by Tier'!$Q$5:$Q$124,'Cost by Tier'!$C$5:$C$124,$C29,'Cost by Tier'!$E$5:$E$124,"FAM")</f>
        <v>76768</v>
      </c>
      <c r="K29" s="14" t="n">
        <f aca="false">F29-Assumptions!$D$14</f>
        <v>0</v>
      </c>
    </row>
    <row r="30" customFormat="false" ht="15" hidden="false" customHeight="false" outlineLevel="0" collapsed="false">
      <c r="A30" s="38" t="s">
        <v>35</v>
      </c>
      <c r="B30" s="38" t="s">
        <v>191</v>
      </c>
      <c r="C30" s="38" t="s">
        <v>192</v>
      </c>
      <c r="D30" s="39" t="str">
        <f aca="false">INDEX('Plan Design'!$E$5:$E$34,MATCH($C30,'Plan Design'!$C$5:$C$34,0))</f>
        <v>N</v>
      </c>
      <c r="E30" s="41" t="n">
        <f aca="false">SUMIFS('Cost by Tier'!$J$5:$J$124,'Cost by Tier'!$C$5:$C$124,$C30,'Cost by Tier'!$E$5:$E$124,"EE")+SUMIFS('Cost by Tier'!$J$5:$J$124,'Cost by Tier'!$C$5:$C$124,$C30,'Cost by Tier'!$E$5:$E$124,"ES")+2*SUMIFS('Cost by Tier'!$J$5:$J$124,'Cost by Tier'!$C$5:$C$124,$C30,'Cost by Tier'!$E$5:$E$124,"FAM")</f>
        <v>2900</v>
      </c>
      <c r="F30" s="45" t="n">
        <f aca="false">E30*12</f>
        <v>34800</v>
      </c>
      <c r="G30" s="41" t="n">
        <f aca="false">SUMIFS('Cost by Tier'!$K$5:$K$124,'Cost by Tier'!$C$5:$C$124,$C30,'Cost by Tier'!$E$5:$E$124,"EE")+SUMIFS('Cost by Tier'!$K$5:$K$124,'Cost by Tier'!$C$5:$C$124,$C30,'Cost by Tier'!$E$5:$E$124,"ES")+2*SUMIFS('Cost by Tier'!$K$5:$K$124,'Cost by Tier'!$C$5:$C$124,$C30,'Cost by Tier'!$E$5:$E$124,"FAM")</f>
        <v>4535</v>
      </c>
      <c r="H30" s="42" t="n">
        <f aca="false">G30*12</f>
        <v>54420</v>
      </c>
      <c r="I30" s="42" t="n">
        <f aca="false">F30+H30</f>
        <v>89220</v>
      </c>
      <c r="J30" s="42" t="n">
        <f aca="false">SUMIFS('Cost by Tier'!$Q$5:$Q$124,'Cost by Tier'!$C$5:$C$124,$C30,'Cost by Tier'!$E$5:$E$124,"EE")+SUMIFS('Cost by Tier'!$Q$5:$Q$124,'Cost by Tier'!$C$5:$C$124,$C30,'Cost by Tier'!$E$5:$E$124,"ES")+2*SUMIFS('Cost by Tier'!$Q$5:$Q$124,'Cost by Tier'!$C$5:$C$124,$C30,'Cost by Tier'!$E$5:$E$124,"FAM")</f>
        <v>75420</v>
      </c>
      <c r="K30" s="42" t="n">
        <f aca="false">F30-Assumptions!$D$14</f>
        <v>0</v>
      </c>
    </row>
    <row r="31" customFormat="false" ht="15" hidden="false" customHeight="false" outlineLevel="0" collapsed="false">
      <c r="A31" s="11" t="s">
        <v>35</v>
      </c>
      <c r="B31" s="11" t="s">
        <v>194</v>
      </c>
      <c r="C31" s="11" t="s">
        <v>195</v>
      </c>
      <c r="D31" s="33" t="str">
        <f aca="false">INDEX('Plan Design'!$E$5:$E$34,MATCH($C31,'Plan Design'!$C$5:$C$34,0))</f>
        <v>N</v>
      </c>
      <c r="E31" s="19" t="n">
        <f aca="false">SUMIFS('Cost by Tier'!$J$5:$J$124,'Cost by Tier'!$C$5:$C$124,$C31,'Cost by Tier'!$E$5:$E$124,"EE")+SUMIFS('Cost by Tier'!$J$5:$J$124,'Cost by Tier'!$C$5:$C$124,$C31,'Cost by Tier'!$E$5:$E$124,"ES")+2*SUMIFS('Cost by Tier'!$J$5:$J$124,'Cost by Tier'!$C$5:$C$124,$C31,'Cost by Tier'!$E$5:$E$124,"FAM")</f>
        <v>2900</v>
      </c>
      <c r="F31" s="37" t="n">
        <f aca="false">E31*12</f>
        <v>34800</v>
      </c>
      <c r="G31" s="19" t="n">
        <f aca="false">SUMIFS('Cost by Tier'!$K$5:$K$124,'Cost by Tier'!$C$5:$C$124,$C31,'Cost by Tier'!$E$5:$E$124,"EE")+SUMIFS('Cost by Tier'!$K$5:$K$124,'Cost by Tier'!$C$5:$C$124,$C31,'Cost by Tier'!$E$5:$E$124,"ES")+2*SUMIFS('Cost by Tier'!$K$5:$K$124,'Cost by Tier'!$C$5:$C$124,$C31,'Cost by Tier'!$E$5:$E$124,"FAM")</f>
        <v>5184</v>
      </c>
      <c r="H31" s="14" t="n">
        <f aca="false">G31*12</f>
        <v>62208</v>
      </c>
      <c r="I31" s="14" t="n">
        <f aca="false">F31+H31</f>
        <v>97008</v>
      </c>
      <c r="J31" s="14" t="n">
        <f aca="false">SUMIFS('Cost by Tier'!$Q$5:$Q$124,'Cost by Tier'!$C$5:$C$124,$C31,'Cost by Tier'!$E$5:$E$124,"EE")+SUMIFS('Cost by Tier'!$Q$5:$Q$124,'Cost by Tier'!$C$5:$C$124,$C31,'Cost by Tier'!$E$5:$E$124,"ES")+2*SUMIFS('Cost by Tier'!$Q$5:$Q$124,'Cost by Tier'!$C$5:$C$124,$C31,'Cost by Tier'!$E$5:$E$124,"FAM")</f>
        <v>83208</v>
      </c>
      <c r="K31" s="14" t="n">
        <f aca="false">F31-Assumptions!$D$14</f>
        <v>0</v>
      </c>
    </row>
    <row r="32" customFormat="false" ht="15" hidden="false" customHeight="false" outlineLevel="0" collapsed="false">
      <c r="A32" s="38" t="s">
        <v>38</v>
      </c>
      <c r="B32" s="38" t="s">
        <v>39</v>
      </c>
      <c r="C32" s="38" t="s">
        <v>196</v>
      </c>
      <c r="D32" s="39" t="str">
        <f aca="false">INDEX('Plan Design'!$E$5:$E$34,MATCH($C32,'Plan Design'!$C$5:$C$34,0))</f>
        <v>Y</v>
      </c>
      <c r="E32" s="41" t="n">
        <f aca="false">SUMIFS('Cost by Tier'!$J$5:$J$124,'Cost by Tier'!$C$5:$C$124,$C32,'Cost by Tier'!$E$5:$E$124,"EE")+SUMIFS('Cost by Tier'!$J$5:$J$124,'Cost by Tier'!$C$5:$C$124,$C32,'Cost by Tier'!$E$5:$E$124,"ES")+2*SUMIFS('Cost by Tier'!$J$5:$J$124,'Cost by Tier'!$C$5:$C$124,$C32,'Cost by Tier'!$E$5:$E$124,"FAM")</f>
        <v>2900</v>
      </c>
      <c r="F32" s="45" t="n">
        <f aca="false">E32*12</f>
        <v>34800</v>
      </c>
      <c r="G32" s="41" t="n">
        <f aca="false">SUMIFS('Cost by Tier'!$K$5:$K$124,'Cost by Tier'!$C$5:$C$124,$C32,'Cost by Tier'!$E$5:$E$124,"EE")+SUMIFS('Cost by Tier'!$K$5:$K$124,'Cost by Tier'!$C$5:$C$124,$C32,'Cost by Tier'!$E$5:$E$124,"ES")+2*SUMIFS('Cost by Tier'!$K$5:$K$124,'Cost by Tier'!$C$5:$C$124,$C32,'Cost by Tier'!$E$5:$E$124,"FAM")</f>
        <v>1183</v>
      </c>
      <c r="H32" s="42" t="n">
        <f aca="false">G32*12</f>
        <v>14196</v>
      </c>
      <c r="I32" s="42" t="n">
        <f aca="false">F32+H32</f>
        <v>48996</v>
      </c>
      <c r="J32" s="42" t="n">
        <f aca="false">SUMIFS('Cost by Tier'!$Q$5:$Q$124,'Cost by Tier'!$C$5:$C$124,$C32,'Cost by Tier'!$E$5:$E$124,"EE")+SUMIFS('Cost by Tier'!$Q$5:$Q$124,'Cost by Tier'!$C$5:$C$124,$C32,'Cost by Tier'!$E$5:$E$124,"ES")+2*SUMIFS('Cost by Tier'!$Q$5:$Q$124,'Cost by Tier'!$C$5:$C$124,$C32,'Cost by Tier'!$E$5:$E$124,"FAM")</f>
        <v>49196</v>
      </c>
      <c r="K32" s="42" t="n">
        <f aca="false">F32-Assumptions!$D$14</f>
        <v>0</v>
      </c>
    </row>
    <row r="33" customFormat="false" ht="15" hidden="false" customHeight="false" outlineLevel="0" collapsed="false">
      <c r="A33" s="11" t="s">
        <v>38</v>
      </c>
      <c r="B33" s="11" t="s">
        <v>199</v>
      </c>
      <c r="C33" s="11" t="s">
        <v>200</v>
      </c>
      <c r="D33" s="33" t="str">
        <f aca="false">INDEX('Plan Design'!$E$5:$E$34,MATCH($C33,'Plan Design'!$C$5:$C$34,0))</f>
        <v>N</v>
      </c>
      <c r="E33" s="19" t="n">
        <f aca="false">SUMIFS('Cost by Tier'!$J$5:$J$124,'Cost by Tier'!$C$5:$C$124,$C33,'Cost by Tier'!$E$5:$E$124,"EE")+SUMIFS('Cost by Tier'!$J$5:$J$124,'Cost by Tier'!$C$5:$C$124,$C33,'Cost by Tier'!$E$5:$E$124,"ES")+2*SUMIFS('Cost by Tier'!$J$5:$J$124,'Cost by Tier'!$C$5:$C$124,$C33,'Cost by Tier'!$E$5:$E$124,"FAM")</f>
        <v>2900</v>
      </c>
      <c r="F33" s="37" t="n">
        <f aca="false">E33*12</f>
        <v>34800</v>
      </c>
      <c r="G33" s="19" t="n">
        <f aca="false">SUMIFS('Cost by Tier'!$K$5:$K$124,'Cost by Tier'!$C$5:$C$124,$C33,'Cost by Tier'!$E$5:$E$124,"EE")+SUMIFS('Cost by Tier'!$K$5:$K$124,'Cost by Tier'!$C$5:$C$124,$C33,'Cost by Tier'!$E$5:$E$124,"ES")+2*SUMIFS('Cost by Tier'!$K$5:$K$124,'Cost by Tier'!$C$5:$C$124,$C33,'Cost by Tier'!$E$5:$E$124,"FAM")</f>
        <v>1676.62</v>
      </c>
      <c r="H33" s="14" t="n">
        <f aca="false">G33*12</f>
        <v>20119.44</v>
      </c>
      <c r="I33" s="14" t="n">
        <f aca="false">F33+H33</f>
        <v>54919.44</v>
      </c>
      <c r="J33" s="14" t="n">
        <f aca="false">SUMIFS('Cost by Tier'!$Q$5:$Q$124,'Cost by Tier'!$C$5:$C$124,$C33,'Cost by Tier'!$E$5:$E$124,"EE")+SUMIFS('Cost by Tier'!$Q$5:$Q$124,'Cost by Tier'!$C$5:$C$124,$C33,'Cost by Tier'!$E$5:$E$124,"ES")+2*SUMIFS('Cost by Tier'!$Q$5:$Q$124,'Cost by Tier'!$C$5:$C$124,$C33,'Cost by Tier'!$E$5:$E$124,"FAM")</f>
        <v>48119.44</v>
      </c>
      <c r="K33" s="14" t="n">
        <f aca="false">F33-Assumptions!$D$14</f>
        <v>0</v>
      </c>
    </row>
    <row r="34" customFormat="false" ht="15" hidden="false" customHeight="false" outlineLevel="0" collapsed="false">
      <c r="A34" s="38" t="s">
        <v>38</v>
      </c>
      <c r="B34" s="38" t="s">
        <v>203</v>
      </c>
      <c r="C34" s="38" t="s">
        <v>204</v>
      </c>
      <c r="D34" s="39" t="str">
        <f aca="false">INDEX('Plan Design'!$E$5:$E$34,MATCH($C34,'Plan Design'!$C$5:$C$34,0))</f>
        <v>N</v>
      </c>
      <c r="E34" s="41" t="n">
        <f aca="false">SUMIFS('Cost by Tier'!$J$5:$J$124,'Cost by Tier'!$C$5:$C$124,$C34,'Cost by Tier'!$E$5:$E$124,"EE")+SUMIFS('Cost by Tier'!$J$5:$J$124,'Cost by Tier'!$C$5:$C$124,$C34,'Cost by Tier'!$E$5:$E$124,"ES")+2*SUMIFS('Cost by Tier'!$J$5:$J$124,'Cost by Tier'!$C$5:$C$124,$C34,'Cost by Tier'!$E$5:$E$124,"FAM")</f>
        <v>2900</v>
      </c>
      <c r="F34" s="45" t="n">
        <f aca="false">E34*12</f>
        <v>34800</v>
      </c>
      <c r="G34" s="41" t="n">
        <f aca="false">SUMIFS('Cost by Tier'!$K$5:$K$124,'Cost by Tier'!$C$5:$C$124,$C34,'Cost by Tier'!$E$5:$E$124,"EE")+SUMIFS('Cost by Tier'!$K$5:$K$124,'Cost by Tier'!$C$5:$C$124,$C34,'Cost by Tier'!$E$5:$E$124,"ES")+2*SUMIFS('Cost by Tier'!$K$5:$K$124,'Cost by Tier'!$C$5:$C$124,$C34,'Cost by Tier'!$E$5:$E$124,"FAM")</f>
        <v>2180.84</v>
      </c>
      <c r="H34" s="42" t="n">
        <f aca="false">G34*12</f>
        <v>26170.08</v>
      </c>
      <c r="I34" s="42" t="n">
        <f aca="false">F34+H34</f>
        <v>60970.08</v>
      </c>
      <c r="J34" s="42" t="n">
        <f aca="false">SUMIFS('Cost by Tier'!$Q$5:$Q$124,'Cost by Tier'!$C$5:$C$124,$C34,'Cost by Tier'!$E$5:$E$124,"EE")+SUMIFS('Cost by Tier'!$Q$5:$Q$124,'Cost by Tier'!$C$5:$C$124,$C34,'Cost by Tier'!$E$5:$E$124,"ES")+2*SUMIFS('Cost by Tier'!$Q$5:$Q$124,'Cost by Tier'!$C$5:$C$124,$C34,'Cost by Tier'!$E$5:$E$124,"FAM")</f>
        <v>40170.08</v>
      </c>
      <c r="K34" s="42" t="n">
        <f aca="false">F34-Assumptions!$D$14</f>
        <v>0</v>
      </c>
    </row>
    <row r="36" customFormat="false" ht="15" hidden="false" customHeight="false" outlineLevel="0" collapsed="false">
      <c r="A36" s="2" t="s">
        <v>232</v>
      </c>
    </row>
    <row r="37" customFormat="false" ht="15" hidden="false" customHeight="false" outlineLevel="0" collapsed="false">
      <c r="A37" s="2"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21"/>
    <col collapsed="false" customWidth="true" hidden="false" outlineLevel="0" max="3" min="3" style="0" width="6"/>
    <col collapsed="false" customWidth="true" hidden="false" outlineLevel="0" max="4" min="4" style="0" width="9"/>
    <col collapsed="false" customWidth="true" hidden="false" outlineLevel="0" max="5" min="5" style="0" width="30"/>
    <col collapsed="false" customWidth="true" hidden="true" outlineLevel="0" max="6" min="6" style="0" width="36"/>
    <col collapsed="false" customWidth="true" hidden="false" outlineLevel="0" max="7" min="7" style="0" width="6"/>
    <col collapsed="false" customWidth="true" hidden="false" outlineLevel="0" max="8" min="8" style="0" width="13"/>
    <col collapsed="false" customWidth="true" hidden="false" outlineLevel="0" max="9" min="9" style="0" width="12"/>
    <col collapsed="false" customWidth="true" hidden="false" outlineLevel="0" max="11" min="10" style="0" width="13"/>
    <col collapsed="false" customWidth="true" hidden="false" outlineLevel="0" max="13" min="12" style="0" width="12"/>
    <col collapsed="false" customWidth="true" hidden="false" outlineLevel="0" max="14" min="14" style="0" width="15"/>
  </cols>
  <sheetData>
    <row r="1" customFormat="false" ht="17.35" hidden="false" customHeight="false" outlineLevel="0" collapsed="false">
      <c r="A1" s="1" t="s">
        <v>234</v>
      </c>
    </row>
    <row r="2" customFormat="false" ht="15" hidden="false" customHeight="false" outlineLevel="0" collapsed="false">
      <c r="A2" s="2" t="s">
        <v>235</v>
      </c>
    </row>
    <row r="4" customFormat="false" ht="42" hidden="false" customHeight="true" outlineLevel="0" collapsed="false">
      <c r="A4" s="10" t="s">
        <v>44</v>
      </c>
      <c r="B4" s="10" t="s">
        <v>7</v>
      </c>
      <c r="C4" s="10" t="s">
        <v>8</v>
      </c>
      <c r="D4" s="10" t="s">
        <v>26</v>
      </c>
      <c r="E4" s="10" t="s">
        <v>92</v>
      </c>
      <c r="F4" s="10" t="s">
        <v>93</v>
      </c>
      <c r="G4" s="10" t="s">
        <v>95</v>
      </c>
      <c r="H4" s="10" t="s">
        <v>211</v>
      </c>
      <c r="I4" s="10" t="s">
        <v>225</v>
      </c>
      <c r="J4" s="10" t="s">
        <v>236</v>
      </c>
      <c r="K4" s="10" t="s">
        <v>237</v>
      </c>
      <c r="L4" s="10" t="s">
        <v>238</v>
      </c>
      <c r="M4" s="10" t="s">
        <v>239</v>
      </c>
      <c r="N4" s="10" t="s">
        <v>240</v>
      </c>
    </row>
    <row r="5" customFormat="false" ht="15" hidden="false" customHeight="false" outlineLevel="0" collapsed="false">
      <c r="A5" s="11" t="s">
        <v>49</v>
      </c>
      <c r="B5" s="11" t="s">
        <v>21</v>
      </c>
      <c r="C5" s="11" t="s">
        <v>22</v>
      </c>
      <c r="D5" s="11" t="s">
        <v>32</v>
      </c>
      <c r="E5" s="11" t="s">
        <v>105</v>
      </c>
      <c r="F5" s="11" t="s">
        <v>106</v>
      </c>
      <c r="G5" s="33" t="str">
        <f aca="false">INDEX('Cost by Tier'!$F$5:$F$124,MATCH($F5&amp;"|"&amp;$C5,'Cost by Tier'!$R$5:$R$124,0))</f>
        <v>Y</v>
      </c>
      <c r="H5" s="34" t="n">
        <f aca="false">INDEX('Cost by Tier'!$G$5:$G$124,MATCH($F5&amp;"|"&amp;$C5,'Cost by Tier'!$R$5:$R$124,0))</f>
        <v>1986.04</v>
      </c>
      <c r="I5" s="34" t="n">
        <f aca="false">INDEX('Cost by Tier'!$J$5:$J$124,MATCH($F5&amp;"|"&amp;$C5,'Cost by Tier'!$R$5:$R$124,0))</f>
        <v>1000</v>
      </c>
      <c r="J5" s="34" t="n">
        <f aca="false">INDEX('Cost by Tier'!$K$5:$K$124,MATCH($F5&amp;"|"&amp;$C5,'Cost by Tier'!$R$5:$R$124,0))</f>
        <v>986.04</v>
      </c>
      <c r="K5" s="36" t="n">
        <f aca="false">INDEX('Cost by Tier'!$M$5:$M$124,MATCH($F5&amp;"|"&amp;$C5,'Cost by Tier'!$R$5:$R$124,0))</f>
        <v>11832.48</v>
      </c>
      <c r="L5" s="36" t="n">
        <f aca="false">INDEX('Cost by Tier'!$O$5:$O$124,MATCH($F5&amp;"|"&amp;$C5,'Cost by Tier'!$R$5:$R$124,0))</f>
        <v>4000</v>
      </c>
      <c r="M5" s="36" t="n">
        <f aca="false">INDEX('Cost by Tier'!$P$5:$P$124,MATCH($F5&amp;"|"&amp;$C5,'Cost by Tier'!$R$5:$R$124,0))</f>
        <v>7000</v>
      </c>
      <c r="N5" s="46" t="n">
        <f aca="false">INDEX('Cost by Tier'!$Q$5:$Q$124,MATCH($F5&amp;"|"&amp;$C5,'Cost by Tier'!$R$5:$R$124,0))</f>
        <v>18832.48</v>
      </c>
    </row>
    <row r="6" customFormat="false" ht="15" hidden="false" customHeight="false" outlineLevel="0" collapsed="false">
      <c r="A6" s="11" t="s">
        <v>49</v>
      </c>
      <c r="B6" s="11" t="s">
        <v>21</v>
      </c>
      <c r="C6" s="11" t="s">
        <v>22</v>
      </c>
      <c r="D6" s="11" t="s">
        <v>32</v>
      </c>
      <c r="E6" s="11" t="s">
        <v>113</v>
      </c>
      <c r="F6" s="11" t="s">
        <v>114</v>
      </c>
      <c r="G6" s="33" t="str">
        <f aca="false">INDEX('Cost by Tier'!$F$5:$F$124,MATCH($F6&amp;"|"&amp;$C6,'Cost by Tier'!$R$5:$R$124,0))</f>
        <v>Y</v>
      </c>
      <c r="H6" s="34" t="n">
        <f aca="false">INDEX('Cost by Tier'!$G$5:$G$124,MATCH($F6&amp;"|"&amp;$C6,'Cost by Tier'!$R$5:$R$124,0))</f>
        <v>1881.29</v>
      </c>
      <c r="I6" s="34" t="n">
        <f aca="false">INDEX('Cost by Tier'!$J$5:$J$124,MATCH($F6&amp;"|"&amp;$C6,'Cost by Tier'!$R$5:$R$124,0))</f>
        <v>1000</v>
      </c>
      <c r="J6" s="34" t="n">
        <f aca="false">INDEX('Cost by Tier'!$K$5:$K$124,MATCH($F6&amp;"|"&amp;$C6,'Cost by Tier'!$R$5:$R$124,0))</f>
        <v>881.29</v>
      </c>
      <c r="K6" s="36" t="n">
        <f aca="false">INDEX('Cost by Tier'!$M$5:$M$124,MATCH($F6&amp;"|"&amp;$C6,'Cost by Tier'!$R$5:$R$124,0))</f>
        <v>10575.48</v>
      </c>
      <c r="L6" s="36" t="n">
        <f aca="false">INDEX('Cost by Tier'!$O$5:$O$124,MATCH($F6&amp;"|"&amp;$C6,'Cost by Tier'!$R$5:$R$124,0))</f>
        <v>5000</v>
      </c>
      <c r="M6" s="36" t="n">
        <f aca="false">INDEX('Cost by Tier'!$P$5:$P$124,MATCH($F6&amp;"|"&amp;$C6,'Cost by Tier'!$R$5:$R$124,0))</f>
        <v>7000</v>
      </c>
      <c r="N6" s="46" t="n">
        <f aca="false">INDEX('Cost by Tier'!$Q$5:$Q$124,MATCH($F6&amp;"|"&amp;$C6,'Cost by Tier'!$R$5:$R$124,0))</f>
        <v>17575.48</v>
      </c>
    </row>
    <row r="7" customFormat="false" ht="15" hidden="false" customHeight="false" outlineLevel="0" collapsed="false">
      <c r="A7" s="11" t="s">
        <v>49</v>
      </c>
      <c r="B7" s="11" t="s">
        <v>21</v>
      </c>
      <c r="C7" s="11" t="s">
        <v>22</v>
      </c>
      <c r="D7" s="11" t="s">
        <v>32</v>
      </c>
      <c r="E7" s="11" t="s">
        <v>115</v>
      </c>
      <c r="F7" s="11" t="s">
        <v>116</v>
      </c>
      <c r="G7" s="33" t="str">
        <f aca="false">INDEX('Cost by Tier'!$F$5:$F$124,MATCH($F7&amp;"|"&amp;$C7,'Cost by Tier'!$R$5:$R$124,0))</f>
        <v>N</v>
      </c>
      <c r="H7" s="34" t="n">
        <f aca="false">INDEX('Cost by Tier'!$G$5:$G$124,MATCH($F7&amp;"|"&amp;$C7,'Cost by Tier'!$R$5:$R$124,0))</f>
        <v>2737.01</v>
      </c>
      <c r="I7" s="34" t="n">
        <f aca="false">INDEX('Cost by Tier'!$J$5:$J$124,MATCH($F7&amp;"|"&amp;$C7,'Cost by Tier'!$R$5:$R$124,0))</f>
        <v>1000</v>
      </c>
      <c r="J7" s="34" t="n">
        <f aca="false">INDEX('Cost by Tier'!$K$5:$K$124,MATCH($F7&amp;"|"&amp;$C7,'Cost by Tier'!$R$5:$R$124,0))</f>
        <v>1737.01</v>
      </c>
      <c r="K7" s="36" t="n">
        <f aca="false">INDEX('Cost by Tier'!$M$5:$M$124,MATCH($F7&amp;"|"&amp;$C7,'Cost by Tier'!$R$5:$R$124,0))</f>
        <v>20844.12</v>
      </c>
      <c r="L7" s="36" t="n">
        <f aca="false">INDEX('Cost by Tier'!$O$5:$O$124,MATCH($F7&amp;"|"&amp;$C7,'Cost by Tier'!$R$5:$R$124,0))</f>
        <v>1000</v>
      </c>
      <c r="M7" s="36" t="n">
        <f aca="false">INDEX('Cost by Tier'!$P$5:$P$124,MATCH($F7&amp;"|"&amp;$C7,'Cost by Tier'!$R$5:$R$124,0))</f>
        <v>7000</v>
      </c>
      <c r="N7" s="46" t="n">
        <f aca="false">INDEX('Cost by Tier'!$Q$5:$Q$124,MATCH($F7&amp;"|"&amp;$C7,'Cost by Tier'!$R$5:$R$124,0))</f>
        <v>27844.12</v>
      </c>
    </row>
    <row r="8" customFormat="false" ht="15" hidden="false" customHeight="false" outlineLevel="0" collapsed="false">
      <c r="A8" s="11" t="s">
        <v>49</v>
      </c>
      <c r="B8" s="11" t="s">
        <v>21</v>
      </c>
      <c r="C8" s="11" t="s">
        <v>22</v>
      </c>
      <c r="D8" s="11" t="s">
        <v>32</v>
      </c>
      <c r="E8" s="11" t="s">
        <v>123</v>
      </c>
      <c r="F8" s="11" t="s">
        <v>124</v>
      </c>
      <c r="G8" s="33" t="str">
        <f aca="false">INDEX('Cost by Tier'!$F$5:$F$124,MATCH($F8&amp;"|"&amp;$C8,'Cost by Tier'!$R$5:$R$124,0))</f>
        <v>N</v>
      </c>
      <c r="H8" s="34" t="n">
        <f aca="false">INDEX('Cost by Tier'!$G$5:$G$124,MATCH($F8&amp;"|"&amp;$C8,'Cost by Tier'!$R$5:$R$124,0))</f>
        <v>2381.46</v>
      </c>
      <c r="I8" s="34" t="n">
        <f aca="false">INDEX('Cost by Tier'!$J$5:$J$124,MATCH($F8&amp;"|"&amp;$C8,'Cost by Tier'!$R$5:$R$124,0))</f>
        <v>1000</v>
      </c>
      <c r="J8" s="34" t="n">
        <f aca="false">INDEX('Cost by Tier'!$K$5:$K$124,MATCH($F8&amp;"|"&amp;$C8,'Cost by Tier'!$R$5:$R$124,0))</f>
        <v>1381.46</v>
      </c>
      <c r="K8" s="36" t="n">
        <f aca="false">INDEX('Cost by Tier'!$M$5:$M$124,MATCH($F8&amp;"|"&amp;$C8,'Cost by Tier'!$R$5:$R$124,0))</f>
        <v>16577.52</v>
      </c>
      <c r="L8" s="36" t="n">
        <f aca="false">INDEX('Cost by Tier'!$O$5:$O$124,MATCH($F8&amp;"|"&amp;$C8,'Cost by Tier'!$R$5:$R$124,0))</f>
        <v>2000</v>
      </c>
      <c r="M8" s="36" t="n">
        <f aca="false">INDEX('Cost by Tier'!$P$5:$P$124,MATCH($F8&amp;"|"&amp;$C8,'Cost by Tier'!$R$5:$R$124,0))</f>
        <v>9000</v>
      </c>
      <c r="N8" s="46" t="n">
        <f aca="false">INDEX('Cost by Tier'!$Q$5:$Q$124,MATCH($F8&amp;"|"&amp;$C8,'Cost by Tier'!$R$5:$R$124,0))</f>
        <v>25577.52</v>
      </c>
    </row>
    <row r="9" customFormat="false" ht="15" hidden="false" customHeight="false" outlineLevel="0" collapsed="false">
      <c r="A9" s="11" t="s">
        <v>49</v>
      </c>
      <c r="B9" s="11" t="s">
        <v>21</v>
      </c>
      <c r="C9" s="11" t="s">
        <v>22</v>
      </c>
      <c r="D9" s="11" t="s">
        <v>32</v>
      </c>
      <c r="E9" s="11" t="s">
        <v>126</v>
      </c>
      <c r="F9" s="11" t="s">
        <v>127</v>
      </c>
      <c r="G9" s="33" t="str">
        <f aca="false">INDEX('Cost by Tier'!$F$5:$F$124,MATCH($F9&amp;"|"&amp;$C9,'Cost by Tier'!$R$5:$R$124,0))</f>
        <v>Y</v>
      </c>
      <c r="H9" s="34" t="n">
        <f aca="false">INDEX('Cost by Tier'!$G$5:$G$124,MATCH($F9&amp;"|"&amp;$C9,'Cost by Tier'!$R$5:$R$124,0))</f>
        <v>1519.36</v>
      </c>
      <c r="I9" s="34" t="n">
        <f aca="false">INDEX('Cost by Tier'!$J$5:$J$124,MATCH($F9&amp;"|"&amp;$C9,'Cost by Tier'!$R$5:$R$124,0))</f>
        <v>1000</v>
      </c>
      <c r="J9" s="34" t="n">
        <f aca="false">INDEX('Cost by Tier'!$K$5:$K$124,MATCH($F9&amp;"|"&amp;$C9,'Cost by Tier'!$R$5:$R$124,0))</f>
        <v>519.36</v>
      </c>
      <c r="K9" s="36" t="n">
        <f aca="false">INDEX('Cost by Tier'!$M$5:$M$124,MATCH($F9&amp;"|"&amp;$C9,'Cost by Tier'!$R$5:$R$124,0))</f>
        <v>6232.32</v>
      </c>
      <c r="L9" s="36" t="n">
        <f aca="false">INDEX('Cost by Tier'!$O$5:$O$124,MATCH($F9&amp;"|"&amp;$C9,'Cost by Tier'!$R$5:$R$124,0))</f>
        <v>7000</v>
      </c>
      <c r="M9" s="36" t="n">
        <f aca="false">INDEX('Cost by Tier'!$P$5:$P$124,MATCH($F9&amp;"|"&amp;$C9,'Cost by Tier'!$R$5:$R$124,0))</f>
        <v>12700</v>
      </c>
      <c r="N9" s="46" t="n">
        <f aca="false">INDEX('Cost by Tier'!$Q$5:$Q$124,MATCH($F9&amp;"|"&amp;$C9,'Cost by Tier'!$R$5:$R$124,0))</f>
        <v>18932.32</v>
      </c>
    </row>
    <row r="10" customFormat="false" ht="15" hidden="false" customHeight="false" outlineLevel="0" collapsed="false">
      <c r="A10" s="11" t="s">
        <v>49</v>
      </c>
      <c r="B10" s="11" t="s">
        <v>21</v>
      </c>
      <c r="C10" s="11" t="s">
        <v>22</v>
      </c>
      <c r="D10" s="11" t="s">
        <v>32</v>
      </c>
      <c r="E10" s="11" t="s">
        <v>131</v>
      </c>
      <c r="F10" s="11" t="s">
        <v>132</v>
      </c>
      <c r="G10" s="33" t="str">
        <f aca="false">INDEX('Cost by Tier'!$F$5:$F$124,MATCH($F10&amp;"|"&amp;$C10,'Cost by Tier'!$R$5:$R$124,0))</f>
        <v>N</v>
      </c>
      <c r="H10" s="34" t="n">
        <f aca="false">INDEX('Cost by Tier'!$G$5:$G$124,MATCH($F10&amp;"|"&amp;$C10,'Cost by Tier'!$R$5:$R$124,0))</f>
        <v>2558.21</v>
      </c>
      <c r="I10" s="34" t="n">
        <f aca="false">INDEX('Cost by Tier'!$J$5:$J$124,MATCH($F10&amp;"|"&amp;$C10,'Cost by Tier'!$R$5:$R$124,0))</f>
        <v>1000</v>
      </c>
      <c r="J10" s="34" t="n">
        <f aca="false">INDEX('Cost by Tier'!$K$5:$K$124,MATCH($F10&amp;"|"&amp;$C10,'Cost by Tier'!$R$5:$R$124,0))</f>
        <v>1558.21</v>
      </c>
      <c r="K10" s="36" t="n">
        <f aca="false">INDEX('Cost by Tier'!$M$5:$M$124,MATCH($F10&amp;"|"&amp;$C10,'Cost by Tier'!$R$5:$R$124,0))</f>
        <v>18698.52</v>
      </c>
      <c r="L10" s="36" t="n">
        <f aca="false">INDEX('Cost by Tier'!$O$5:$O$124,MATCH($F10&amp;"|"&amp;$C10,'Cost by Tier'!$R$5:$R$124,0))</f>
        <v>1000</v>
      </c>
      <c r="M10" s="36" t="n">
        <f aca="false">INDEX('Cost by Tier'!$P$5:$P$124,MATCH($F10&amp;"|"&amp;$C10,'Cost by Tier'!$R$5:$R$124,0))</f>
        <v>7000</v>
      </c>
      <c r="N10" s="46" t="n">
        <f aca="false">INDEX('Cost by Tier'!$Q$5:$Q$124,MATCH($F10&amp;"|"&amp;$C10,'Cost by Tier'!$R$5:$R$124,0))</f>
        <v>25698.52</v>
      </c>
    </row>
    <row r="11" customFormat="false" ht="15" hidden="false" customHeight="false" outlineLevel="0" collapsed="false">
      <c r="A11" s="11" t="s">
        <v>49</v>
      </c>
      <c r="B11" s="11" t="s">
        <v>21</v>
      </c>
      <c r="C11" s="11" t="s">
        <v>22</v>
      </c>
      <c r="D11" s="11" t="s">
        <v>32</v>
      </c>
      <c r="E11" s="11" t="s">
        <v>133</v>
      </c>
      <c r="F11" s="11" t="s">
        <v>134</v>
      </c>
      <c r="G11" s="33" t="str">
        <f aca="false">INDEX('Cost by Tier'!$F$5:$F$124,MATCH($F11&amp;"|"&amp;$C11,'Cost by Tier'!$R$5:$R$124,0))</f>
        <v>N</v>
      </c>
      <c r="H11" s="34" t="n">
        <f aca="false">INDEX('Cost by Tier'!$G$5:$G$124,MATCH($F11&amp;"|"&amp;$C11,'Cost by Tier'!$R$5:$R$124,0))</f>
        <v>2322.36</v>
      </c>
      <c r="I11" s="34" t="n">
        <f aca="false">INDEX('Cost by Tier'!$J$5:$J$124,MATCH($F11&amp;"|"&amp;$C11,'Cost by Tier'!$R$5:$R$124,0))</f>
        <v>1000</v>
      </c>
      <c r="J11" s="34" t="n">
        <f aca="false">INDEX('Cost by Tier'!$K$5:$K$124,MATCH($F11&amp;"|"&amp;$C11,'Cost by Tier'!$R$5:$R$124,0))</f>
        <v>1322.36</v>
      </c>
      <c r="K11" s="36" t="n">
        <f aca="false">INDEX('Cost by Tier'!$M$5:$M$124,MATCH($F11&amp;"|"&amp;$C11,'Cost by Tier'!$R$5:$R$124,0))</f>
        <v>15868.32</v>
      </c>
      <c r="L11" s="36" t="n">
        <f aca="false">INDEX('Cost by Tier'!$O$5:$O$124,MATCH($F11&amp;"|"&amp;$C11,'Cost by Tier'!$R$5:$R$124,0))</f>
        <v>2000</v>
      </c>
      <c r="M11" s="36" t="n">
        <f aca="false">INDEX('Cost by Tier'!$P$5:$P$124,MATCH($F11&amp;"|"&amp;$C11,'Cost by Tier'!$R$5:$R$124,0))</f>
        <v>9000</v>
      </c>
      <c r="N11" s="46" t="n">
        <f aca="false">INDEX('Cost by Tier'!$Q$5:$Q$124,MATCH($F11&amp;"|"&amp;$C11,'Cost by Tier'!$R$5:$R$124,0))</f>
        <v>24868.32</v>
      </c>
    </row>
    <row r="12" customFormat="false" ht="15" hidden="false" customHeight="false" outlineLevel="0" collapsed="false">
      <c r="A12" s="11" t="s">
        <v>49</v>
      </c>
      <c r="B12" s="11" t="s">
        <v>21</v>
      </c>
      <c r="C12" s="11" t="s">
        <v>22</v>
      </c>
      <c r="D12" s="11" t="s">
        <v>32</v>
      </c>
      <c r="E12" s="11" t="s">
        <v>135</v>
      </c>
      <c r="F12" s="11" t="s">
        <v>136</v>
      </c>
      <c r="G12" s="33" t="str">
        <f aca="false">INDEX('Cost by Tier'!$F$5:$F$124,MATCH($F12&amp;"|"&amp;$C12,'Cost by Tier'!$R$5:$R$124,0))</f>
        <v>N</v>
      </c>
      <c r="H12" s="34" t="n">
        <f aca="false">INDEX('Cost by Tier'!$G$5:$G$124,MATCH($F12&amp;"|"&amp;$C12,'Cost by Tier'!$R$5:$R$124,0))</f>
        <v>2309.12</v>
      </c>
      <c r="I12" s="34" t="n">
        <f aca="false">INDEX('Cost by Tier'!$J$5:$J$124,MATCH($F12&amp;"|"&amp;$C12,'Cost by Tier'!$R$5:$R$124,0))</f>
        <v>1000</v>
      </c>
      <c r="J12" s="34" t="n">
        <f aca="false">INDEX('Cost by Tier'!$K$5:$K$124,MATCH($F12&amp;"|"&amp;$C12,'Cost by Tier'!$R$5:$R$124,0))</f>
        <v>1309.12</v>
      </c>
      <c r="K12" s="36" t="n">
        <f aca="false">INDEX('Cost by Tier'!$M$5:$M$124,MATCH($F12&amp;"|"&amp;$C12,'Cost by Tier'!$R$5:$R$124,0))</f>
        <v>15709.44</v>
      </c>
      <c r="L12" s="36" t="n">
        <f aca="false">INDEX('Cost by Tier'!$O$5:$O$124,MATCH($F12&amp;"|"&amp;$C12,'Cost by Tier'!$R$5:$R$124,0))</f>
        <v>3000</v>
      </c>
      <c r="M12" s="36" t="n">
        <f aca="false">INDEX('Cost by Tier'!$P$5:$P$124,MATCH($F12&amp;"|"&amp;$C12,'Cost by Tier'!$R$5:$R$124,0))</f>
        <v>10000</v>
      </c>
      <c r="N12" s="46" t="n">
        <f aca="false">INDEX('Cost by Tier'!$Q$5:$Q$124,MATCH($F12&amp;"|"&amp;$C12,'Cost by Tier'!$R$5:$R$124,0))</f>
        <v>25709.44</v>
      </c>
    </row>
    <row r="13" customFormat="false" ht="15" hidden="false" customHeight="false" outlineLevel="0" collapsed="false">
      <c r="A13" s="11" t="s">
        <v>49</v>
      </c>
      <c r="B13" s="11" t="s">
        <v>21</v>
      </c>
      <c r="C13" s="11" t="s">
        <v>22</v>
      </c>
      <c r="D13" s="11" t="s">
        <v>32</v>
      </c>
      <c r="E13" s="11" t="s">
        <v>139</v>
      </c>
      <c r="F13" s="11" t="s">
        <v>140</v>
      </c>
      <c r="G13" s="33" t="str">
        <f aca="false">INDEX('Cost by Tier'!$F$5:$F$124,MATCH($F13&amp;"|"&amp;$C13,'Cost by Tier'!$R$5:$R$124,0))</f>
        <v>Y</v>
      </c>
      <c r="H13" s="34" t="n">
        <f aca="false">INDEX('Cost by Tier'!$G$5:$G$124,MATCH($F13&amp;"|"&amp;$C13,'Cost by Tier'!$R$5:$R$124,0))</f>
        <v>1357.49</v>
      </c>
      <c r="I13" s="34" t="n">
        <f aca="false">INDEX('Cost by Tier'!$J$5:$J$124,MATCH($F13&amp;"|"&amp;$C13,'Cost by Tier'!$R$5:$R$124,0))</f>
        <v>1000</v>
      </c>
      <c r="J13" s="34" t="n">
        <f aca="false">INDEX('Cost by Tier'!$K$5:$K$124,MATCH($F13&amp;"|"&amp;$C13,'Cost by Tier'!$R$5:$R$124,0))</f>
        <v>357.49</v>
      </c>
      <c r="K13" s="36" t="n">
        <f aca="false">INDEX('Cost by Tier'!$M$5:$M$124,MATCH($F13&amp;"|"&amp;$C13,'Cost by Tier'!$R$5:$R$124,0))</f>
        <v>4289.88</v>
      </c>
      <c r="L13" s="36" t="n">
        <f aca="false">INDEX('Cost by Tier'!$O$5:$O$124,MATCH($F13&amp;"|"&amp;$C13,'Cost by Tier'!$R$5:$R$124,0))</f>
        <v>12000</v>
      </c>
      <c r="M13" s="36" t="n">
        <f aca="false">INDEX('Cost by Tier'!$P$5:$P$124,MATCH($F13&amp;"|"&amp;$C13,'Cost by Tier'!$R$5:$R$124,0))</f>
        <v>13000</v>
      </c>
      <c r="N13" s="46" t="n">
        <f aca="false">INDEX('Cost by Tier'!$Q$5:$Q$124,MATCH($F13&amp;"|"&amp;$C13,'Cost by Tier'!$R$5:$R$124,0))</f>
        <v>17289.88</v>
      </c>
    </row>
    <row r="14" customFormat="false" ht="15" hidden="false" customHeight="false" outlineLevel="0" collapsed="false">
      <c r="A14" s="11" t="s">
        <v>49</v>
      </c>
      <c r="B14" s="11" t="s">
        <v>21</v>
      </c>
      <c r="C14" s="11" t="s">
        <v>22</v>
      </c>
      <c r="D14" s="11" t="s">
        <v>32</v>
      </c>
      <c r="E14" s="11" t="s">
        <v>141</v>
      </c>
      <c r="F14" s="11" t="s">
        <v>142</v>
      </c>
      <c r="G14" s="33" t="str">
        <f aca="false">INDEX('Cost by Tier'!$F$5:$F$124,MATCH($F14&amp;"|"&amp;$C14,'Cost by Tier'!$R$5:$R$124,0))</f>
        <v>N</v>
      </c>
      <c r="H14" s="34" t="n">
        <f aca="false">INDEX('Cost by Tier'!$G$5:$G$124,MATCH($F14&amp;"|"&amp;$C14,'Cost by Tier'!$R$5:$R$124,0))</f>
        <v>1949.92</v>
      </c>
      <c r="I14" s="34" t="n">
        <f aca="false">INDEX('Cost by Tier'!$J$5:$J$124,MATCH($F14&amp;"|"&amp;$C14,'Cost by Tier'!$R$5:$R$124,0))</f>
        <v>1000</v>
      </c>
      <c r="J14" s="34" t="n">
        <f aca="false">INDEX('Cost by Tier'!$K$5:$K$124,MATCH($F14&amp;"|"&amp;$C14,'Cost by Tier'!$R$5:$R$124,0))</f>
        <v>949.92</v>
      </c>
      <c r="K14" s="36" t="n">
        <f aca="false">INDEX('Cost by Tier'!$M$5:$M$124,MATCH($F14&amp;"|"&amp;$C14,'Cost by Tier'!$R$5:$R$124,0))</f>
        <v>11399.04</v>
      </c>
      <c r="L14" s="36" t="n">
        <f aca="false">INDEX('Cost by Tier'!$O$5:$O$124,MATCH($F14&amp;"|"&amp;$C14,'Cost by Tier'!$R$5:$R$124,0))</f>
        <v>6000</v>
      </c>
      <c r="M14" s="36" t="n">
        <f aca="false">INDEX('Cost by Tier'!$P$5:$P$124,MATCH($F14&amp;"|"&amp;$C14,'Cost by Tier'!$R$5:$R$124,0))</f>
        <v>14000</v>
      </c>
      <c r="N14" s="46" t="n">
        <f aca="false">INDEX('Cost by Tier'!$Q$5:$Q$124,MATCH($F14&amp;"|"&amp;$C14,'Cost by Tier'!$R$5:$R$124,0))</f>
        <v>25399.04</v>
      </c>
    </row>
    <row r="15" customFormat="false" ht="15" hidden="false" customHeight="false" outlineLevel="0" collapsed="false">
      <c r="A15" s="11" t="s">
        <v>49</v>
      </c>
      <c r="B15" s="11" t="s">
        <v>21</v>
      </c>
      <c r="C15" s="11" t="s">
        <v>22</v>
      </c>
      <c r="D15" s="11" t="s">
        <v>32</v>
      </c>
      <c r="E15" s="11" t="s">
        <v>33</v>
      </c>
      <c r="F15" s="11" t="s">
        <v>144</v>
      </c>
      <c r="G15" s="33" t="str">
        <f aca="false">INDEX('Cost by Tier'!$F$5:$F$124,MATCH($F15&amp;"|"&amp;$C15,'Cost by Tier'!$R$5:$R$124,0))</f>
        <v>N</v>
      </c>
      <c r="H15" s="34" t="n">
        <f aca="false">INDEX('Cost by Tier'!$G$5:$G$124,MATCH($F15&amp;"|"&amp;$C15,'Cost by Tier'!$R$5:$R$124,0))</f>
        <v>1159.51</v>
      </c>
      <c r="I15" s="34" t="n">
        <f aca="false">INDEX('Cost by Tier'!$J$5:$J$124,MATCH($F15&amp;"|"&amp;$C15,'Cost by Tier'!$R$5:$R$124,0))</f>
        <v>1000</v>
      </c>
      <c r="J15" s="34" t="n">
        <f aca="false">INDEX('Cost by Tier'!$K$5:$K$124,MATCH($F15&amp;"|"&amp;$C15,'Cost by Tier'!$R$5:$R$124,0))</f>
        <v>159.51</v>
      </c>
      <c r="K15" s="36" t="n">
        <f aca="false">INDEX('Cost by Tier'!$M$5:$M$124,MATCH($F15&amp;"|"&amp;$C15,'Cost by Tier'!$R$5:$R$124,0))</f>
        <v>1914.12</v>
      </c>
      <c r="L15" s="36" t="n">
        <f aca="false">INDEX('Cost by Tier'!$O$5:$O$124,MATCH($F15&amp;"|"&amp;$C15,'Cost by Tier'!$R$5:$R$124,0))</f>
        <v>16000</v>
      </c>
      <c r="M15" s="36" t="n">
        <f aca="false">INDEX('Cost by Tier'!$P$5:$P$124,MATCH($F15&amp;"|"&amp;$C15,'Cost by Tier'!$R$5:$R$124,0))</f>
        <v>20000</v>
      </c>
      <c r="N15" s="46" t="n">
        <f aca="false">INDEX('Cost by Tier'!$Q$5:$Q$124,MATCH($F15&amp;"|"&amp;$C15,'Cost by Tier'!$R$5:$R$124,0))</f>
        <v>21914.12</v>
      </c>
    </row>
    <row r="16" customFormat="false" ht="15" hidden="false" customHeight="false" outlineLevel="0" collapsed="false">
      <c r="A16" s="11" t="s">
        <v>49</v>
      </c>
      <c r="B16" s="11" t="s">
        <v>21</v>
      </c>
      <c r="C16" s="11" t="s">
        <v>22</v>
      </c>
      <c r="D16" s="11" t="s">
        <v>35</v>
      </c>
      <c r="E16" s="11" t="s">
        <v>36</v>
      </c>
      <c r="F16" s="11" t="s">
        <v>148</v>
      </c>
      <c r="G16" s="33" t="str">
        <f aca="false">INDEX('Cost by Tier'!$F$5:$F$124,MATCH($F16&amp;"|"&amp;$C16,'Cost by Tier'!$R$5:$R$124,0))</f>
        <v>N</v>
      </c>
      <c r="H16" s="34" t="n">
        <f aca="false">INDEX('Cost by Tier'!$G$5:$G$124,MATCH($F16&amp;"|"&amp;$C16,'Cost by Tier'!$R$5:$R$124,0))</f>
        <v>1166</v>
      </c>
      <c r="I16" s="34" t="n">
        <f aca="false">INDEX('Cost by Tier'!$J$5:$J$124,MATCH($F16&amp;"|"&amp;$C16,'Cost by Tier'!$R$5:$R$124,0))</f>
        <v>1000</v>
      </c>
      <c r="J16" s="34" t="n">
        <f aca="false">INDEX('Cost by Tier'!$K$5:$K$124,MATCH($F16&amp;"|"&amp;$C16,'Cost by Tier'!$R$5:$R$124,0))</f>
        <v>166</v>
      </c>
      <c r="K16" s="36" t="n">
        <f aca="false">INDEX('Cost by Tier'!$M$5:$M$124,MATCH($F16&amp;"|"&amp;$C16,'Cost by Tier'!$R$5:$R$124,0))</f>
        <v>1992</v>
      </c>
      <c r="L16" s="36" t="n">
        <f aca="false">INDEX('Cost by Tier'!$O$5:$O$124,MATCH($F16&amp;"|"&amp;$C16,'Cost by Tier'!$R$5:$R$124,0))</f>
        <v>13000</v>
      </c>
      <c r="M16" s="36" t="n">
        <f aca="false">INDEX('Cost by Tier'!$P$5:$P$124,MATCH($F16&amp;"|"&amp;$C16,'Cost by Tier'!$R$5:$R$124,0))</f>
        <v>15000</v>
      </c>
      <c r="N16" s="46" t="n">
        <f aca="false">INDEX('Cost by Tier'!$Q$5:$Q$124,MATCH($F16&amp;"|"&amp;$C16,'Cost by Tier'!$R$5:$R$124,0))</f>
        <v>16992</v>
      </c>
    </row>
    <row r="17" customFormat="false" ht="15" hidden="false" customHeight="false" outlineLevel="0" collapsed="false">
      <c r="A17" s="11" t="s">
        <v>49</v>
      </c>
      <c r="B17" s="11" t="s">
        <v>21</v>
      </c>
      <c r="C17" s="11" t="s">
        <v>22</v>
      </c>
      <c r="D17" s="11" t="s">
        <v>35</v>
      </c>
      <c r="E17" s="11" t="s">
        <v>153</v>
      </c>
      <c r="F17" s="11" t="s">
        <v>154</v>
      </c>
      <c r="G17" s="33" t="str">
        <f aca="false">INDEX('Cost by Tier'!$F$5:$F$124,MATCH($F17&amp;"|"&amp;$C17,'Cost by Tier'!$R$5:$R$124,0))</f>
        <v>N</v>
      </c>
      <c r="H17" s="34" t="n">
        <f aca="false">INDEX('Cost by Tier'!$G$5:$G$124,MATCH($F17&amp;"|"&amp;$C17,'Cost by Tier'!$R$5:$R$124,0))</f>
        <v>1212</v>
      </c>
      <c r="I17" s="34" t="n">
        <f aca="false">INDEX('Cost by Tier'!$J$5:$J$124,MATCH($F17&amp;"|"&amp;$C17,'Cost by Tier'!$R$5:$R$124,0))</f>
        <v>1000</v>
      </c>
      <c r="J17" s="34" t="n">
        <f aca="false">INDEX('Cost by Tier'!$K$5:$K$124,MATCH($F17&amp;"|"&amp;$C17,'Cost by Tier'!$R$5:$R$124,0))</f>
        <v>212</v>
      </c>
      <c r="K17" s="36" t="n">
        <f aca="false">INDEX('Cost by Tier'!$M$5:$M$124,MATCH($F17&amp;"|"&amp;$C17,'Cost by Tier'!$R$5:$R$124,0))</f>
        <v>2544</v>
      </c>
      <c r="L17" s="36" t="n">
        <f aca="false">INDEX('Cost by Tier'!$O$5:$O$124,MATCH($F17&amp;"|"&amp;$C17,'Cost by Tier'!$R$5:$R$124,0))</f>
        <v>14300</v>
      </c>
      <c r="M17" s="36" t="n">
        <f aca="false">INDEX('Cost by Tier'!$P$5:$P$124,MATCH($F17&amp;"|"&amp;$C17,'Cost by Tier'!$R$5:$R$124,0))</f>
        <v>15200</v>
      </c>
      <c r="N17" s="46" t="n">
        <f aca="false">INDEX('Cost by Tier'!$Q$5:$Q$124,MATCH($F17&amp;"|"&amp;$C17,'Cost by Tier'!$R$5:$R$124,0))</f>
        <v>17744</v>
      </c>
    </row>
    <row r="18" customFormat="false" ht="15" hidden="false" customHeight="false" outlineLevel="0" collapsed="false">
      <c r="A18" s="11" t="s">
        <v>49</v>
      </c>
      <c r="B18" s="11" t="s">
        <v>21</v>
      </c>
      <c r="C18" s="11" t="s">
        <v>22</v>
      </c>
      <c r="D18" s="11" t="s">
        <v>35</v>
      </c>
      <c r="E18" s="11" t="s">
        <v>159</v>
      </c>
      <c r="F18" s="11" t="s">
        <v>160</v>
      </c>
      <c r="G18" s="33" t="str">
        <f aca="false">INDEX('Cost by Tier'!$F$5:$F$124,MATCH($F18&amp;"|"&amp;$C18,'Cost by Tier'!$R$5:$R$124,0))</f>
        <v>Y</v>
      </c>
      <c r="H18" s="34" t="n">
        <f aca="false">INDEX('Cost by Tier'!$G$5:$G$124,MATCH($F18&amp;"|"&amp;$C18,'Cost by Tier'!$R$5:$R$124,0))</f>
        <v>1242</v>
      </c>
      <c r="I18" s="34" t="n">
        <f aca="false">INDEX('Cost by Tier'!$J$5:$J$124,MATCH($F18&amp;"|"&amp;$C18,'Cost by Tier'!$R$5:$R$124,0))</f>
        <v>1000</v>
      </c>
      <c r="J18" s="34" t="n">
        <f aca="false">INDEX('Cost by Tier'!$K$5:$K$124,MATCH($F18&amp;"|"&amp;$C18,'Cost by Tier'!$R$5:$R$124,0))</f>
        <v>242</v>
      </c>
      <c r="K18" s="36" t="n">
        <f aca="false">INDEX('Cost by Tier'!$M$5:$M$124,MATCH($F18&amp;"|"&amp;$C18,'Cost by Tier'!$R$5:$R$124,0))</f>
        <v>2904</v>
      </c>
      <c r="L18" s="36" t="n">
        <f aca="false">INDEX('Cost by Tier'!$O$5:$O$124,MATCH($F18&amp;"|"&amp;$C18,'Cost by Tier'!$R$5:$R$124,0))</f>
        <v>12700</v>
      </c>
      <c r="M18" s="36" t="n">
        <f aca="false">INDEX('Cost by Tier'!$P$5:$P$124,MATCH($F18&amp;"|"&amp;$C18,'Cost by Tier'!$R$5:$R$124,0))</f>
        <v>12700</v>
      </c>
      <c r="N18" s="46" t="n">
        <f aca="false">INDEX('Cost by Tier'!$Q$5:$Q$124,MATCH($F18&amp;"|"&amp;$C18,'Cost by Tier'!$R$5:$R$124,0))</f>
        <v>15604</v>
      </c>
    </row>
    <row r="19" customFormat="false" ht="15" hidden="false" customHeight="false" outlineLevel="0" collapsed="false">
      <c r="A19" s="11" t="s">
        <v>49</v>
      </c>
      <c r="B19" s="11" t="s">
        <v>21</v>
      </c>
      <c r="C19" s="11" t="s">
        <v>22</v>
      </c>
      <c r="D19" s="11" t="s">
        <v>35</v>
      </c>
      <c r="E19" s="11" t="s">
        <v>162</v>
      </c>
      <c r="F19" s="11" t="s">
        <v>163</v>
      </c>
      <c r="G19" s="33" t="str">
        <f aca="false">INDEX('Cost by Tier'!$F$5:$F$124,MATCH($F19&amp;"|"&amp;$C19,'Cost by Tier'!$R$5:$R$124,0))</f>
        <v>Y</v>
      </c>
      <c r="H19" s="34" t="n">
        <f aca="false">INDEX('Cost by Tier'!$G$5:$G$124,MATCH($F19&amp;"|"&amp;$C19,'Cost by Tier'!$R$5:$R$124,0))</f>
        <v>1495</v>
      </c>
      <c r="I19" s="34" t="n">
        <f aca="false">INDEX('Cost by Tier'!$J$5:$J$124,MATCH($F19&amp;"|"&amp;$C19,'Cost by Tier'!$R$5:$R$124,0))</f>
        <v>1000</v>
      </c>
      <c r="J19" s="34" t="n">
        <f aca="false">INDEX('Cost by Tier'!$K$5:$K$124,MATCH($F19&amp;"|"&amp;$C19,'Cost by Tier'!$R$5:$R$124,0))</f>
        <v>495</v>
      </c>
      <c r="K19" s="36" t="n">
        <f aca="false">INDEX('Cost by Tier'!$M$5:$M$124,MATCH($F19&amp;"|"&amp;$C19,'Cost by Tier'!$R$5:$R$124,0))</f>
        <v>5940</v>
      </c>
      <c r="L19" s="36" t="n">
        <f aca="false">INDEX('Cost by Tier'!$O$5:$O$124,MATCH($F19&amp;"|"&amp;$C19,'Cost by Tier'!$R$5:$R$124,0))</f>
        <v>8000</v>
      </c>
      <c r="M19" s="36" t="n">
        <f aca="false">INDEX('Cost by Tier'!$P$5:$P$124,MATCH($F19&amp;"|"&amp;$C19,'Cost by Tier'!$R$5:$R$124,0))</f>
        <v>13700</v>
      </c>
      <c r="N19" s="46" t="n">
        <f aca="false">INDEX('Cost by Tier'!$Q$5:$Q$124,MATCH($F19&amp;"|"&amp;$C19,'Cost by Tier'!$R$5:$R$124,0))</f>
        <v>19640</v>
      </c>
    </row>
    <row r="20" customFormat="false" ht="15" hidden="false" customHeight="false" outlineLevel="0" collapsed="false">
      <c r="A20" s="11" t="s">
        <v>49</v>
      </c>
      <c r="B20" s="11" t="s">
        <v>21</v>
      </c>
      <c r="C20" s="11" t="s">
        <v>22</v>
      </c>
      <c r="D20" s="11" t="s">
        <v>35</v>
      </c>
      <c r="E20" s="11" t="s">
        <v>164</v>
      </c>
      <c r="F20" s="11" t="s">
        <v>165</v>
      </c>
      <c r="G20" s="33" t="str">
        <f aca="false">INDEX('Cost by Tier'!$F$5:$F$124,MATCH($F20&amp;"|"&amp;$C20,'Cost by Tier'!$R$5:$R$124,0))</f>
        <v>N</v>
      </c>
      <c r="H20" s="34" t="n">
        <f aca="false">INDEX('Cost by Tier'!$G$5:$G$124,MATCH($F20&amp;"|"&amp;$C20,'Cost by Tier'!$R$5:$R$124,0))</f>
        <v>1576</v>
      </c>
      <c r="I20" s="34" t="n">
        <f aca="false">INDEX('Cost by Tier'!$J$5:$J$124,MATCH($F20&amp;"|"&amp;$C20,'Cost by Tier'!$R$5:$R$124,0))</f>
        <v>1000</v>
      </c>
      <c r="J20" s="34" t="n">
        <f aca="false">INDEX('Cost by Tier'!$K$5:$K$124,MATCH($F20&amp;"|"&amp;$C20,'Cost by Tier'!$R$5:$R$124,0))</f>
        <v>576</v>
      </c>
      <c r="K20" s="36" t="n">
        <f aca="false">INDEX('Cost by Tier'!$M$5:$M$124,MATCH($F20&amp;"|"&amp;$C20,'Cost by Tier'!$R$5:$R$124,0))</f>
        <v>6912</v>
      </c>
      <c r="L20" s="36" t="n">
        <f aca="false">INDEX('Cost by Tier'!$O$5:$O$124,MATCH($F20&amp;"|"&amp;$C20,'Cost by Tier'!$R$5:$R$124,0))</f>
        <v>5000</v>
      </c>
      <c r="M20" s="36" t="n">
        <f aca="false">INDEX('Cost by Tier'!$P$5:$P$124,MATCH($F20&amp;"|"&amp;$C20,'Cost by Tier'!$R$5:$R$124,0))</f>
        <v>15000</v>
      </c>
      <c r="N20" s="46" t="n">
        <f aca="false">INDEX('Cost by Tier'!$Q$5:$Q$124,MATCH($F20&amp;"|"&amp;$C20,'Cost by Tier'!$R$5:$R$124,0))</f>
        <v>21912</v>
      </c>
    </row>
    <row r="21" customFormat="false" ht="15" hidden="false" customHeight="false" outlineLevel="0" collapsed="false">
      <c r="A21" s="11" t="s">
        <v>49</v>
      </c>
      <c r="B21" s="11" t="s">
        <v>21</v>
      </c>
      <c r="C21" s="11" t="s">
        <v>22</v>
      </c>
      <c r="D21" s="11" t="s">
        <v>35</v>
      </c>
      <c r="E21" s="11" t="s">
        <v>166</v>
      </c>
      <c r="F21" s="11" t="s">
        <v>167</v>
      </c>
      <c r="G21" s="33" t="str">
        <f aca="false">INDEX('Cost by Tier'!$F$5:$F$124,MATCH($F21&amp;"|"&amp;$C21,'Cost by Tier'!$R$5:$R$124,0))</f>
        <v>N</v>
      </c>
      <c r="H21" s="34" t="n">
        <f aca="false">INDEX('Cost by Tier'!$G$5:$G$124,MATCH($F21&amp;"|"&amp;$C21,'Cost by Tier'!$R$5:$R$124,0))</f>
        <v>1603</v>
      </c>
      <c r="I21" s="34" t="n">
        <f aca="false">INDEX('Cost by Tier'!$J$5:$J$124,MATCH($F21&amp;"|"&amp;$C21,'Cost by Tier'!$R$5:$R$124,0))</f>
        <v>1000</v>
      </c>
      <c r="J21" s="34" t="n">
        <f aca="false">INDEX('Cost by Tier'!$K$5:$K$124,MATCH($F21&amp;"|"&amp;$C21,'Cost by Tier'!$R$5:$R$124,0))</f>
        <v>603</v>
      </c>
      <c r="K21" s="36" t="n">
        <f aca="false">INDEX('Cost by Tier'!$M$5:$M$124,MATCH($F21&amp;"|"&amp;$C21,'Cost by Tier'!$R$5:$R$124,0))</f>
        <v>7236</v>
      </c>
      <c r="L21" s="36" t="n">
        <f aca="false">INDEX('Cost by Tier'!$O$5:$O$124,MATCH($F21&amp;"|"&amp;$C21,'Cost by Tier'!$R$5:$R$124,0))</f>
        <v>10000</v>
      </c>
      <c r="M21" s="36" t="n">
        <f aca="false">INDEX('Cost by Tier'!$P$5:$P$124,MATCH($F21&amp;"|"&amp;$C21,'Cost by Tier'!$R$5:$R$124,0))</f>
        <v>15200</v>
      </c>
      <c r="N21" s="46" t="n">
        <f aca="false">INDEX('Cost by Tier'!$Q$5:$Q$124,MATCH($F21&amp;"|"&amp;$C21,'Cost by Tier'!$R$5:$R$124,0))</f>
        <v>22436</v>
      </c>
    </row>
    <row r="22" customFormat="false" ht="15" hidden="false" customHeight="false" outlineLevel="0" collapsed="false">
      <c r="A22" s="11" t="s">
        <v>49</v>
      </c>
      <c r="B22" s="11" t="s">
        <v>21</v>
      </c>
      <c r="C22" s="11" t="s">
        <v>22</v>
      </c>
      <c r="D22" s="11" t="s">
        <v>35</v>
      </c>
      <c r="E22" s="11" t="s">
        <v>170</v>
      </c>
      <c r="F22" s="11" t="s">
        <v>171</v>
      </c>
      <c r="G22" s="33" t="str">
        <f aca="false">INDEX('Cost by Tier'!$F$5:$F$124,MATCH($F22&amp;"|"&amp;$C22,'Cost by Tier'!$R$5:$R$124,0))</f>
        <v>N</v>
      </c>
      <c r="H22" s="34" t="n">
        <f aca="false">INDEX('Cost by Tier'!$G$5:$G$124,MATCH($F22&amp;"|"&amp;$C22,'Cost by Tier'!$R$5:$R$124,0))</f>
        <v>1760</v>
      </c>
      <c r="I22" s="34" t="n">
        <f aca="false">INDEX('Cost by Tier'!$J$5:$J$124,MATCH($F22&amp;"|"&amp;$C22,'Cost by Tier'!$R$5:$R$124,0))</f>
        <v>1000</v>
      </c>
      <c r="J22" s="34" t="n">
        <f aca="false">INDEX('Cost by Tier'!$K$5:$K$124,MATCH($F22&amp;"|"&amp;$C22,'Cost by Tier'!$R$5:$R$124,0))</f>
        <v>760</v>
      </c>
      <c r="K22" s="36" t="n">
        <f aca="false">INDEX('Cost by Tier'!$M$5:$M$124,MATCH($F22&amp;"|"&amp;$C22,'Cost by Tier'!$R$5:$R$124,0))</f>
        <v>9120</v>
      </c>
      <c r="L22" s="36" t="n">
        <f aca="false">INDEX('Cost by Tier'!$O$5:$O$124,MATCH($F22&amp;"|"&amp;$C22,'Cost by Tier'!$R$5:$R$124,0))</f>
        <v>4000</v>
      </c>
      <c r="M22" s="36" t="n">
        <f aca="false">INDEX('Cost by Tier'!$P$5:$P$124,MATCH($F22&amp;"|"&amp;$C22,'Cost by Tier'!$R$5:$R$124,0))</f>
        <v>13000</v>
      </c>
      <c r="N22" s="46" t="n">
        <f aca="false">INDEX('Cost by Tier'!$Q$5:$Q$124,MATCH($F22&amp;"|"&amp;$C22,'Cost by Tier'!$R$5:$R$124,0))</f>
        <v>22120</v>
      </c>
    </row>
    <row r="23" customFormat="false" ht="15" hidden="false" customHeight="false" outlineLevel="0" collapsed="false">
      <c r="A23" s="11" t="s">
        <v>49</v>
      </c>
      <c r="B23" s="11" t="s">
        <v>21</v>
      </c>
      <c r="C23" s="11" t="s">
        <v>22</v>
      </c>
      <c r="D23" s="11" t="s">
        <v>35</v>
      </c>
      <c r="E23" s="11" t="s">
        <v>175</v>
      </c>
      <c r="F23" s="11" t="s">
        <v>176</v>
      </c>
      <c r="G23" s="33" t="str">
        <f aca="false">INDEX('Cost by Tier'!$F$5:$F$124,MATCH($F23&amp;"|"&amp;$C23,'Cost by Tier'!$R$5:$R$124,0))</f>
        <v>N</v>
      </c>
      <c r="H23" s="34" t="n">
        <f aca="false">INDEX('Cost by Tier'!$G$5:$G$124,MATCH($F23&amp;"|"&amp;$C23,'Cost by Tier'!$R$5:$R$124,0))</f>
        <v>1812</v>
      </c>
      <c r="I23" s="34" t="n">
        <f aca="false">INDEX('Cost by Tier'!$J$5:$J$124,MATCH($F23&amp;"|"&amp;$C23,'Cost by Tier'!$R$5:$R$124,0))</f>
        <v>1000</v>
      </c>
      <c r="J23" s="34" t="n">
        <f aca="false">INDEX('Cost by Tier'!$K$5:$K$124,MATCH($F23&amp;"|"&amp;$C23,'Cost by Tier'!$R$5:$R$124,0))</f>
        <v>812</v>
      </c>
      <c r="K23" s="36" t="n">
        <f aca="false">INDEX('Cost by Tier'!$M$5:$M$124,MATCH($F23&amp;"|"&amp;$C23,'Cost by Tier'!$R$5:$R$124,0))</f>
        <v>9744</v>
      </c>
      <c r="L23" s="36" t="n">
        <f aca="false">INDEX('Cost by Tier'!$O$5:$O$124,MATCH($F23&amp;"|"&amp;$C23,'Cost by Tier'!$R$5:$R$124,0))</f>
        <v>2000</v>
      </c>
      <c r="M23" s="36" t="n">
        <f aca="false">INDEX('Cost by Tier'!$P$5:$P$124,MATCH($F23&amp;"|"&amp;$C23,'Cost by Tier'!$R$5:$R$124,0))</f>
        <v>11000</v>
      </c>
      <c r="N23" s="46" t="n">
        <f aca="false">INDEX('Cost by Tier'!$Q$5:$Q$124,MATCH($F23&amp;"|"&amp;$C23,'Cost by Tier'!$R$5:$R$124,0))</f>
        <v>20744</v>
      </c>
    </row>
    <row r="24" customFormat="false" ht="15" hidden="false" customHeight="false" outlineLevel="0" collapsed="false">
      <c r="A24" s="11" t="s">
        <v>49</v>
      </c>
      <c r="B24" s="11" t="s">
        <v>21</v>
      </c>
      <c r="C24" s="11" t="s">
        <v>22</v>
      </c>
      <c r="D24" s="11" t="s">
        <v>35</v>
      </c>
      <c r="E24" s="11" t="s">
        <v>177</v>
      </c>
      <c r="F24" s="11" t="s">
        <v>178</v>
      </c>
      <c r="G24" s="33" t="str">
        <f aca="false">INDEX('Cost by Tier'!$F$5:$F$124,MATCH($F24&amp;"|"&amp;$C24,'Cost by Tier'!$R$5:$R$124,0))</f>
        <v>N</v>
      </c>
      <c r="H24" s="34" t="n">
        <f aca="false">INDEX('Cost by Tier'!$G$5:$G$124,MATCH($F24&amp;"|"&amp;$C24,'Cost by Tier'!$R$5:$R$124,0))</f>
        <v>1897</v>
      </c>
      <c r="I24" s="34" t="n">
        <f aca="false">INDEX('Cost by Tier'!$J$5:$J$124,MATCH($F24&amp;"|"&amp;$C24,'Cost by Tier'!$R$5:$R$124,0))</f>
        <v>1000</v>
      </c>
      <c r="J24" s="34" t="n">
        <f aca="false">INDEX('Cost by Tier'!$K$5:$K$124,MATCH($F24&amp;"|"&amp;$C24,'Cost by Tier'!$R$5:$R$124,0))</f>
        <v>897</v>
      </c>
      <c r="K24" s="36" t="n">
        <f aca="false">INDEX('Cost by Tier'!$M$5:$M$124,MATCH($F24&amp;"|"&amp;$C24,'Cost by Tier'!$R$5:$R$124,0))</f>
        <v>10764</v>
      </c>
      <c r="L24" s="36" t="n">
        <f aca="false">INDEX('Cost by Tier'!$O$5:$O$124,MATCH($F24&amp;"|"&amp;$C24,'Cost by Tier'!$R$5:$R$124,0))</f>
        <v>6000</v>
      </c>
      <c r="M24" s="36" t="n">
        <f aca="false">INDEX('Cost by Tier'!$P$5:$P$124,MATCH($F24&amp;"|"&amp;$C24,'Cost by Tier'!$R$5:$R$124,0))</f>
        <v>12000</v>
      </c>
      <c r="N24" s="46" t="n">
        <f aca="false">INDEX('Cost by Tier'!$Q$5:$Q$124,MATCH($F24&amp;"|"&amp;$C24,'Cost by Tier'!$R$5:$R$124,0))</f>
        <v>22764</v>
      </c>
    </row>
    <row r="25" customFormat="false" ht="15" hidden="false" customHeight="false" outlineLevel="0" collapsed="false">
      <c r="A25" s="11" t="s">
        <v>49</v>
      </c>
      <c r="B25" s="11" t="s">
        <v>21</v>
      </c>
      <c r="C25" s="11" t="s">
        <v>22</v>
      </c>
      <c r="D25" s="11" t="s">
        <v>35</v>
      </c>
      <c r="E25" s="11" t="s">
        <v>179</v>
      </c>
      <c r="F25" s="11" t="s">
        <v>180</v>
      </c>
      <c r="G25" s="33" t="str">
        <f aca="false">INDEX('Cost by Tier'!$F$5:$F$124,MATCH($F25&amp;"|"&amp;$C25,'Cost by Tier'!$R$5:$R$124,0))</f>
        <v>N</v>
      </c>
      <c r="H25" s="34" t="n">
        <f aca="false">INDEX('Cost by Tier'!$G$5:$G$124,MATCH($F25&amp;"|"&amp;$C25,'Cost by Tier'!$R$5:$R$124,0))</f>
        <v>1915</v>
      </c>
      <c r="I25" s="34" t="n">
        <f aca="false">INDEX('Cost by Tier'!$J$5:$J$124,MATCH($F25&amp;"|"&amp;$C25,'Cost by Tier'!$R$5:$R$124,0))</f>
        <v>1000</v>
      </c>
      <c r="J25" s="34" t="n">
        <f aca="false">INDEX('Cost by Tier'!$K$5:$K$124,MATCH($F25&amp;"|"&amp;$C25,'Cost by Tier'!$R$5:$R$124,0))</f>
        <v>915</v>
      </c>
      <c r="K25" s="36" t="n">
        <f aca="false">INDEX('Cost by Tier'!$M$5:$M$124,MATCH($F25&amp;"|"&amp;$C25,'Cost by Tier'!$R$5:$R$124,0))</f>
        <v>10980</v>
      </c>
      <c r="L25" s="36" t="n">
        <f aca="false">INDEX('Cost by Tier'!$O$5:$O$124,MATCH($F25&amp;"|"&amp;$C25,'Cost by Tier'!$R$5:$R$124,0))</f>
        <v>4000</v>
      </c>
      <c r="M25" s="36" t="n">
        <f aca="false">INDEX('Cost by Tier'!$P$5:$P$124,MATCH($F25&amp;"|"&amp;$C25,'Cost by Tier'!$R$5:$R$124,0))</f>
        <v>13700</v>
      </c>
      <c r="N25" s="46" t="n">
        <f aca="false">INDEX('Cost by Tier'!$Q$5:$Q$124,MATCH($F25&amp;"|"&amp;$C25,'Cost by Tier'!$R$5:$R$124,0))</f>
        <v>24680</v>
      </c>
    </row>
    <row r="26" customFormat="false" ht="15" hidden="false" customHeight="false" outlineLevel="0" collapsed="false">
      <c r="A26" s="11" t="s">
        <v>49</v>
      </c>
      <c r="B26" s="11" t="s">
        <v>21</v>
      </c>
      <c r="C26" s="11" t="s">
        <v>22</v>
      </c>
      <c r="D26" s="11" t="s">
        <v>35</v>
      </c>
      <c r="E26" s="11" t="s">
        <v>181</v>
      </c>
      <c r="F26" s="11" t="s">
        <v>182</v>
      </c>
      <c r="G26" s="33" t="str">
        <f aca="false">INDEX('Cost by Tier'!$F$5:$F$124,MATCH($F26&amp;"|"&amp;$C26,'Cost by Tier'!$R$5:$R$124,0))</f>
        <v>N</v>
      </c>
      <c r="H26" s="34" t="n">
        <f aca="false">INDEX('Cost by Tier'!$G$5:$G$124,MATCH($F26&amp;"|"&amp;$C26,'Cost by Tier'!$R$5:$R$124,0))</f>
        <v>1938</v>
      </c>
      <c r="I26" s="34" t="n">
        <f aca="false">INDEX('Cost by Tier'!$J$5:$J$124,MATCH($F26&amp;"|"&amp;$C26,'Cost by Tier'!$R$5:$R$124,0))</f>
        <v>1000</v>
      </c>
      <c r="J26" s="34" t="n">
        <f aca="false">INDEX('Cost by Tier'!$K$5:$K$124,MATCH($F26&amp;"|"&amp;$C26,'Cost by Tier'!$R$5:$R$124,0))</f>
        <v>938</v>
      </c>
      <c r="K26" s="36" t="n">
        <f aca="false">INDEX('Cost by Tier'!$M$5:$M$124,MATCH($F26&amp;"|"&amp;$C26,'Cost by Tier'!$R$5:$R$124,0))</f>
        <v>11256</v>
      </c>
      <c r="L26" s="36" t="n">
        <f aca="false">INDEX('Cost by Tier'!$O$5:$O$124,MATCH($F26&amp;"|"&amp;$C26,'Cost by Tier'!$R$5:$R$124,0))</f>
        <v>2000</v>
      </c>
      <c r="M26" s="36" t="n">
        <f aca="false">INDEX('Cost by Tier'!$P$5:$P$124,MATCH($F26&amp;"|"&amp;$C26,'Cost by Tier'!$R$5:$R$124,0))</f>
        <v>10000</v>
      </c>
      <c r="N26" s="46" t="n">
        <f aca="false">INDEX('Cost by Tier'!$Q$5:$Q$124,MATCH($F26&amp;"|"&amp;$C26,'Cost by Tier'!$R$5:$R$124,0))</f>
        <v>21256</v>
      </c>
    </row>
    <row r="27" customFormat="false" ht="15" hidden="false" customHeight="false" outlineLevel="0" collapsed="false">
      <c r="A27" s="11" t="s">
        <v>49</v>
      </c>
      <c r="B27" s="11" t="s">
        <v>21</v>
      </c>
      <c r="C27" s="11" t="s">
        <v>22</v>
      </c>
      <c r="D27" s="11" t="s">
        <v>35</v>
      </c>
      <c r="E27" s="11" t="s">
        <v>183</v>
      </c>
      <c r="F27" s="11" t="s">
        <v>184</v>
      </c>
      <c r="G27" s="33" t="str">
        <f aca="false">INDEX('Cost by Tier'!$F$5:$F$124,MATCH($F27&amp;"|"&amp;$C27,'Cost by Tier'!$R$5:$R$124,0))</f>
        <v>N</v>
      </c>
      <c r="H27" s="34" t="n">
        <f aca="false">INDEX('Cost by Tier'!$G$5:$G$124,MATCH($F27&amp;"|"&amp;$C27,'Cost by Tier'!$R$5:$R$124,0))</f>
        <v>2030</v>
      </c>
      <c r="I27" s="34" t="n">
        <f aca="false">INDEX('Cost by Tier'!$J$5:$J$124,MATCH($F27&amp;"|"&amp;$C27,'Cost by Tier'!$R$5:$R$124,0))</f>
        <v>1000</v>
      </c>
      <c r="J27" s="34" t="n">
        <f aca="false">INDEX('Cost by Tier'!$K$5:$K$124,MATCH($F27&amp;"|"&amp;$C27,'Cost by Tier'!$R$5:$R$124,0))</f>
        <v>1030</v>
      </c>
      <c r="K27" s="36" t="n">
        <f aca="false">INDEX('Cost by Tier'!$M$5:$M$124,MATCH($F27&amp;"|"&amp;$C27,'Cost by Tier'!$R$5:$R$124,0))</f>
        <v>12360</v>
      </c>
      <c r="L27" s="36" t="n">
        <f aca="false">INDEX('Cost by Tier'!$O$5:$O$124,MATCH($F27&amp;"|"&amp;$C27,'Cost by Tier'!$R$5:$R$124,0))</f>
        <v>2000</v>
      </c>
      <c r="M27" s="36" t="n">
        <f aca="false">INDEX('Cost by Tier'!$P$5:$P$124,MATCH($F27&amp;"|"&amp;$C27,'Cost by Tier'!$R$5:$R$124,0))</f>
        <v>9000</v>
      </c>
      <c r="N27" s="46" t="n">
        <f aca="false">INDEX('Cost by Tier'!$Q$5:$Q$124,MATCH($F27&amp;"|"&amp;$C27,'Cost by Tier'!$R$5:$R$124,0))</f>
        <v>21360</v>
      </c>
    </row>
    <row r="28" customFormat="false" ht="15" hidden="false" customHeight="false" outlineLevel="0" collapsed="false">
      <c r="A28" s="11" t="s">
        <v>49</v>
      </c>
      <c r="B28" s="11" t="s">
        <v>21</v>
      </c>
      <c r="C28" s="11" t="s">
        <v>22</v>
      </c>
      <c r="D28" s="11" t="s">
        <v>35</v>
      </c>
      <c r="E28" s="11" t="s">
        <v>185</v>
      </c>
      <c r="F28" s="11" t="s">
        <v>186</v>
      </c>
      <c r="G28" s="33" t="str">
        <f aca="false">INDEX('Cost by Tier'!$F$5:$F$124,MATCH($F28&amp;"|"&amp;$C28,'Cost by Tier'!$R$5:$R$124,0))</f>
        <v>Y</v>
      </c>
      <c r="H28" s="34" t="n">
        <f aca="false">INDEX('Cost by Tier'!$G$5:$G$124,MATCH($F28&amp;"|"&amp;$C28,'Cost by Tier'!$R$5:$R$124,0))</f>
        <v>1787</v>
      </c>
      <c r="I28" s="34" t="n">
        <f aca="false">INDEX('Cost by Tier'!$J$5:$J$124,MATCH($F28&amp;"|"&amp;$C28,'Cost by Tier'!$R$5:$R$124,0))</f>
        <v>1000</v>
      </c>
      <c r="J28" s="34" t="n">
        <f aca="false">INDEX('Cost by Tier'!$K$5:$K$124,MATCH($F28&amp;"|"&amp;$C28,'Cost by Tier'!$R$5:$R$124,0))</f>
        <v>787</v>
      </c>
      <c r="K28" s="36" t="n">
        <f aca="false">INDEX('Cost by Tier'!$M$5:$M$124,MATCH($F28&amp;"|"&amp;$C28,'Cost by Tier'!$R$5:$R$124,0))</f>
        <v>9444</v>
      </c>
      <c r="L28" s="36" t="n">
        <f aca="false">INDEX('Cost by Tier'!$O$5:$O$124,MATCH($F28&amp;"|"&amp;$C28,'Cost by Tier'!$R$5:$R$124,0))</f>
        <v>4000</v>
      </c>
      <c r="M28" s="36" t="n">
        <f aca="false">INDEX('Cost by Tier'!$P$5:$P$124,MATCH($F28&amp;"|"&amp;$C28,'Cost by Tier'!$R$5:$R$124,0))</f>
        <v>7000</v>
      </c>
      <c r="N28" s="46" t="n">
        <f aca="false">INDEX('Cost by Tier'!$Q$5:$Q$124,MATCH($F28&amp;"|"&amp;$C28,'Cost by Tier'!$R$5:$R$124,0))</f>
        <v>16444</v>
      </c>
    </row>
    <row r="29" customFormat="false" ht="15" hidden="false" customHeight="false" outlineLevel="0" collapsed="false">
      <c r="A29" s="11" t="s">
        <v>49</v>
      </c>
      <c r="B29" s="11" t="s">
        <v>21</v>
      </c>
      <c r="C29" s="11" t="s">
        <v>22</v>
      </c>
      <c r="D29" s="11" t="s">
        <v>35</v>
      </c>
      <c r="E29" s="11" t="s">
        <v>189</v>
      </c>
      <c r="F29" s="11" t="s">
        <v>190</v>
      </c>
      <c r="G29" s="33" t="str">
        <f aca="false">INDEX('Cost by Tier'!$F$5:$F$124,MATCH($F29&amp;"|"&amp;$C29,'Cost by Tier'!$R$5:$R$124,0))</f>
        <v>N</v>
      </c>
      <c r="H29" s="34" t="n">
        <f aca="false">INDEX('Cost by Tier'!$G$5:$G$124,MATCH($F29&amp;"|"&amp;$C29,'Cost by Tier'!$R$5:$R$124,0))</f>
        <v>2252</v>
      </c>
      <c r="I29" s="34" t="n">
        <f aca="false">INDEX('Cost by Tier'!$J$5:$J$124,MATCH($F29&amp;"|"&amp;$C29,'Cost by Tier'!$R$5:$R$124,0))</f>
        <v>1000</v>
      </c>
      <c r="J29" s="34" t="n">
        <f aca="false">INDEX('Cost by Tier'!$K$5:$K$124,MATCH($F29&amp;"|"&amp;$C29,'Cost by Tier'!$R$5:$R$124,0))</f>
        <v>1252</v>
      </c>
      <c r="K29" s="36" t="n">
        <f aca="false">INDEX('Cost by Tier'!$M$5:$M$124,MATCH($F29&amp;"|"&amp;$C29,'Cost by Tier'!$R$5:$R$124,0))</f>
        <v>15024</v>
      </c>
      <c r="L29" s="36" t="n">
        <f aca="false">INDEX('Cost by Tier'!$O$5:$O$124,MATCH($F29&amp;"|"&amp;$C29,'Cost by Tier'!$R$5:$R$124,0))</f>
        <v>1500</v>
      </c>
      <c r="M29" s="36" t="n">
        <f aca="false">INDEX('Cost by Tier'!$P$5:$P$124,MATCH($F29&amp;"|"&amp;$C29,'Cost by Tier'!$R$5:$R$124,0))</f>
        <v>8000</v>
      </c>
      <c r="N29" s="46" t="n">
        <f aca="false">INDEX('Cost by Tier'!$Q$5:$Q$124,MATCH($F29&amp;"|"&amp;$C29,'Cost by Tier'!$R$5:$R$124,0))</f>
        <v>23024</v>
      </c>
    </row>
    <row r="30" customFormat="false" ht="15" hidden="false" customHeight="false" outlineLevel="0" collapsed="false">
      <c r="A30" s="11" t="s">
        <v>49</v>
      </c>
      <c r="B30" s="11" t="s">
        <v>21</v>
      </c>
      <c r="C30" s="11" t="s">
        <v>22</v>
      </c>
      <c r="D30" s="11" t="s">
        <v>35</v>
      </c>
      <c r="E30" s="11" t="s">
        <v>191</v>
      </c>
      <c r="F30" s="11" t="s">
        <v>192</v>
      </c>
      <c r="G30" s="33" t="str">
        <f aca="false">INDEX('Cost by Tier'!$F$5:$F$124,MATCH($F30&amp;"|"&amp;$C30,'Cost by Tier'!$R$5:$R$124,0))</f>
        <v>N</v>
      </c>
      <c r="H30" s="34" t="n">
        <f aca="false">INDEX('Cost by Tier'!$G$5:$G$124,MATCH($F30&amp;"|"&amp;$C30,'Cost by Tier'!$R$5:$R$124,0))</f>
        <v>2404</v>
      </c>
      <c r="I30" s="34" t="n">
        <f aca="false">INDEX('Cost by Tier'!$J$5:$J$124,MATCH($F30&amp;"|"&amp;$C30,'Cost by Tier'!$R$5:$R$124,0))</f>
        <v>1000</v>
      </c>
      <c r="J30" s="34" t="n">
        <f aca="false">INDEX('Cost by Tier'!$K$5:$K$124,MATCH($F30&amp;"|"&amp;$C30,'Cost by Tier'!$R$5:$R$124,0))</f>
        <v>1404</v>
      </c>
      <c r="K30" s="36" t="n">
        <f aca="false">INDEX('Cost by Tier'!$M$5:$M$124,MATCH($F30&amp;"|"&amp;$C30,'Cost by Tier'!$R$5:$R$124,0))</f>
        <v>16848</v>
      </c>
      <c r="L30" s="36" t="n">
        <f aca="false">INDEX('Cost by Tier'!$O$5:$O$124,MATCH($F30&amp;"|"&amp;$C30,'Cost by Tier'!$R$5:$R$124,0))</f>
        <v>0</v>
      </c>
      <c r="M30" s="36" t="n">
        <f aca="false">INDEX('Cost by Tier'!$P$5:$P$124,MATCH($F30&amp;"|"&amp;$C30,'Cost by Tier'!$R$5:$R$124,0))</f>
        <v>6000</v>
      </c>
      <c r="N30" s="46" t="n">
        <f aca="false">INDEX('Cost by Tier'!$Q$5:$Q$124,MATCH($F30&amp;"|"&amp;$C30,'Cost by Tier'!$R$5:$R$124,0))</f>
        <v>22848</v>
      </c>
    </row>
    <row r="31" customFormat="false" ht="15" hidden="false" customHeight="false" outlineLevel="0" collapsed="false">
      <c r="A31" s="11" t="s">
        <v>49</v>
      </c>
      <c r="B31" s="11" t="s">
        <v>21</v>
      </c>
      <c r="C31" s="11" t="s">
        <v>22</v>
      </c>
      <c r="D31" s="11" t="s">
        <v>35</v>
      </c>
      <c r="E31" s="11" t="s">
        <v>194</v>
      </c>
      <c r="F31" s="11" t="s">
        <v>195</v>
      </c>
      <c r="G31" s="33" t="str">
        <f aca="false">INDEX('Cost by Tier'!$F$5:$F$124,MATCH($F31&amp;"|"&amp;$C31,'Cost by Tier'!$R$5:$R$124,0))</f>
        <v>N</v>
      </c>
      <c r="H31" s="34" t="n">
        <f aca="false">INDEX('Cost by Tier'!$G$5:$G$124,MATCH($F31&amp;"|"&amp;$C31,'Cost by Tier'!$R$5:$R$124,0))</f>
        <v>2614</v>
      </c>
      <c r="I31" s="34" t="n">
        <f aca="false">INDEX('Cost by Tier'!$J$5:$J$124,MATCH($F31&amp;"|"&amp;$C31,'Cost by Tier'!$R$5:$R$124,0))</f>
        <v>1000</v>
      </c>
      <c r="J31" s="34" t="n">
        <f aca="false">INDEX('Cost by Tier'!$K$5:$K$124,MATCH($F31&amp;"|"&amp;$C31,'Cost by Tier'!$R$5:$R$124,0))</f>
        <v>1614</v>
      </c>
      <c r="K31" s="36" t="n">
        <f aca="false">INDEX('Cost by Tier'!$M$5:$M$124,MATCH($F31&amp;"|"&amp;$C31,'Cost by Tier'!$R$5:$R$124,0))</f>
        <v>19368</v>
      </c>
      <c r="L31" s="36" t="n">
        <f aca="false">INDEX('Cost by Tier'!$O$5:$O$124,MATCH($F31&amp;"|"&amp;$C31,'Cost by Tier'!$R$5:$R$124,0))</f>
        <v>600</v>
      </c>
      <c r="M31" s="36" t="n">
        <f aca="false">INDEX('Cost by Tier'!$P$5:$P$124,MATCH($F31&amp;"|"&amp;$C31,'Cost by Tier'!$R$5:$R$124,0))</f>
        <v>6000</v>
      </c>
      <c r="N31" s="46" t="n">
        <f aca="false">INDEX('Cost by Tier'!$Q$5:$Q$124,MATCH($F31&amp;"|"&amp;$C31,'Cost by Tier'!$R$5:$R$124,0))</f>
        <v>25368</v>
      </c>
    </row>
    <row r="32" customFormat="false" ht="15" hidden="false" customHeight="false" outlineLevel="0" collapsed="false">
      <c r="A32" s="11" t="s">
        <v>49</v>
      </c>
      <c r="B32" s="11" t="s">
        <v>21</v>
      </c>
      <c r="C32" s="11" t="s">
        <v>22</v>
      </c>
      <c r="D32" s="11" t="s">
        <v>38</v>
      </c>
      <c r="E32" s="11" t="s">
        <v>39</v>
      </c>
      <c r="F32" s="11" t="s">
        <v>196</v>
      </c>
      <c r="G32" s="33" t="str">
        <f aca="false">INDEX('Cost by Tier'!$F$5:$F$124,MATCH($F32&amp;"|"&amp;$C32,'Cost by Tier'!$R$5:$R$124,0))</f>
        <v>Y</v>
      </c>
      <c r="H32" s="34" t="n">
        <f aca="false">INDEX('Cost by Tier'!$G$5:$G$124,MATCH($F32&amp;"|"&amp;$C32,'Cost by Tier'!$R$5:$R$124,0))</f>
        <v>1361</v>
      </c>
      <c r="I32" s="34" t="n">
        <f aca="false">INDEX('Cost by Tier'!$J$5:$J$124,MATCH($F32&amp;"|"&amp;$C32,'Cost by Tier'!$R$5:$R$124,0))</f>
        <v>1000</v>
      </c>
      <c r="J32" s="34" t="n">
        <f aca="false">INDEX('Cost by Tier'!$K$5:$K$124,MATCH($F32&amp;"|"&amp;$C32,'Cost by Tier'!$R$5:$R$124,0))</f>
        <v>361</v>
      </c>
      <c r="K32" s="36" t="n">
        <f aca="false">INDEX('Cost by Tier'!$M$5:$M$124,MATCH($F32&amp;"|"&amp;$C32,'Cost by Tier'!$R$5:$R$124,0))</f>
        <v>4332</v>
      </c>
      <c r="L32" s="36" t="n">
        <f aca="false">INDEX('Cost by Tier'!$O$5:$O$124,MATCH($F32&amp;"|"&amp;$C32,'Cost by Tier'!$R$5:$R$124,0))</f>
        <v>6800</v>
      </c>
      <c r="M32" s="36" t="n">
        <f aca="false">INDEX('Cost by Tier'!$P$5:$P$124,MATCH($F32&amp;"|"&amp;$C32,'Cost by Tier'!$R$5:$R$124,0))</f>
        <v>10000</v>
      </c>
      <c r="N32" s="46" t="n">
        <f aca="false">INDEX('Cost by Tier'!$Q$5:$Q$124,MATCH($F32&amp;"|"&amp;$C32,'Cost by Tier'!$R$5:$R$124,0))</f>
        <v>14332</v>
      </c>
    </row>
    <row r="33" customFormat="false" ht="15" hidden="false" customHeight="false" outlineLevel="0" collapsed="false">
      <c r="A33" s="11" t="s">
        <v>49</v>
      </c>
      <c r="B33" s="11" t="s">
        <v>21</v>
      </c>
      <c r="C33" s="11" t="s">
        <v>22</v>
      </c>
      <c r="D33" s="11" t="s">
        <v>38</v>
      </c>
      <c r="E33" s="11" t="s">
        <v>199</v>
      </c>
      <c r="F33" s="11" t="s">
        <v>200</v>
      </c>
      <c r="G33" s="33" t="str">
        <f aca="false">INDEX('Cost by Tier'!$F$5:$F$124,MATCH($F33&amp;"|"&amp;$C33,'Cost by Tier'!$R$5:$R$124,0))</f>
        <v>N</v>
      </c>
      <c r="H33" s="34" t="n">
        <f aca="false">INDEX('Cost by Tier'!$G$5:$G$124,MATCH($F33&amp;"|"&amp;$C33,'Cost by Tier'!$R$5:$R$124,0))</f>
        <v>1525.54</v>
      </c>
      <c r="I33" s="34" t="n">
        <f aca="false">INDEX('Cost by Tier'!$J$5:$J$124,MATCH($F33&amp;"|"&amp;$C33,'Cost by Tier'!$R$5:$R$124,0))</f>
        <v>1000</v>
      </c>
      <c r="J33" s="34" t="n">
        <f aca="false">INDEX('Cost by Tier'!$K$5:$K$124,MATCH($F33&amp;"|"&amp;$C33,'Cost by Tier'!$R$5:$R$124,0))</f>
        <v>525.54</v>
      </c>
      <c r="K33" s="36" t="n">
        <f aca="false">INDEX('Cost by Tier'!$M$5:$M$124,MATCH($F33&amp;"|"&amp;$C33,'Cost by Tier'!$R$5:$R$124,0))</f>
        <v>6306.48</v>
      </c>
      <c r="L33" s="36" t="n">
        <f aca="false">INDEX('Cost by Tier'!$O$5:$O$124,MATCH($F33&amp;"|"&amp;$C33,'Cost by Tier'!$R$5:$R$124,0))</f>
        <v>4000</v>
      </c>
      <c r="M33" s="36" t="n">
        <f aca="false">INDEX('Cost by Tier'!$P$5:$P$124,MATCH($F33&amp;"|"&amp;$C33,'Cost by Tier'!$R$5:$R$124,0))</f>
        <v>8000</v>
      </c>
      <c r="N33" s="46" t="n">
        <f aca="false">INDEX('Cost by Tier'!$Q$5:$Q$124,MATCH($F33&amp;"|"&amp;$C33,'Cost by Tier'!$R$5:$R$124,0))</f>
        <v>14306.48</v>
      </c>
    </row>
    <row r="34" customFormat="false" ht="15" hidden="false" customHeight="false" outlineLevel="0" collapsed="false">
      <c r="A34" s="11" t="s">
        <v>49</v>
      </c>
      <c r="B34" s="11" t="s">
        <v>21</v>
      </c>
      <c r="C34" s="11" t="s">
        <v>22</v>
      </c>
      <c r="D34" s="11" t="s">
        <v>38</v>
      </c>
      <c r="E34" s="11" t="s">
        <v>203</v>
      </c>
      <c r="F34" s="11" t="s">
        <v>204</v>
      </c>
      <c r="G34" s="33" t="str">
        <f aca="false">INDEX('Cost by Tier'!$F$5:$F$124,MATCH($F34&amp;"|"&amp;$C34,'Cost by Tier'!$R$5:$R$124,0))</f>
        <v>N</v>
      </c>
      <c r="H34" s="34" t="n">
        <f aca="false">INDEX('Cost by Tier'!$G$5:$G$124,MATCH($F34&amp;"|"&amp;$C34,'Cost by Tier'!$R$5:$R$124,0))</f>
        <v>1693.61</v>
      </c>
      <c r="I34" s="34" t="n">
        <f aca="false">INDEX('Cost by Tier'!$J$5:$J$124,MATCH($F34&amp;"|"&amp;$C34,'Cost by Tier'!$R$5:$R$124,0))</f>
        <v>1000</v>
      </c>
      <c r="J34" s="34" t="n">
        <f aca="false">INDEX('Cost by Tier'!$K$5:$K$124,MATCH($F34&amp;"|"&amp;$C34,'Cost by Tier'!$R$5:$R$124,0))</f>
        <v>693.61</v>
      </c>
      <c r="K34" s="36" t="n">
        <f aca="false">INDEX('Cost by Tier'!$M$5:$M$124,MATCH($F34&amp;"|"&amp;$C34,'Cost by Tier'!$R$5:$R$124,0))</f>
        <v>8323.32</v>
      </c>
      <c r="L34" s="36" t="n">
        <f aca="false">INDEX('Cost by Tier'!$O$5:$O$124,MATCH($F34&amp;"|"&amp;$C34,'Cost by Tier'!$R$5:$R$124,0))</f>
        <v>2000</v>
      </c>
      <c r="M34" s="36" t="n">
        <f aca="false">INDEX('Cost by Tier'!$P$5:$P$124,MATCH($F34&amp;"|"&amp;$C34,'Cost by Tier'!$R$5:$R$124,0))</f>
        <v>4000</v>
      </c>
      <c r="N34" s="46" t="n">
        <f aca="false">INDEX('Cost by Tier'!$Q$5:$Q$124,MATCH($F34&amp;"|"&amp;$C34,'Cost by Tier'!$R$5:$R$124,0))</f>
        <v>12323.32</v>
      </c>
    </row>
    <row r="35" customFormat="false" ht="15" hidden="false" customHeight="false" outlineLevel="0" collapsed="false">
      <c r="A35" s="11" t="s">
        <v>52</v>
      </c>
      <c r="B35" s="11" t="s">
        <v>12</v>
      </c>
      <c r="C35" s="11" t="s">
        <v>13</v>
      </c>
      <c r="D35" s="11" t="s">
        <v>32</v>
      </c>
      <c r="E35" s="11" t="s">
        <v>105</v>
      </c>
      <c r="F35" s="11" t="s">
        <v>106</v>
      </c>
      <c r="G35" s="33" t="str">
        <f aca="false">INDEX('Cost by Tier'!$F$5:$F$124,MATCH($F35&amp;"|"&amp;$C35,'Cost by Tier'!$R$5:$R$124,0))</f>
        <v>Y</v>
      </c>
      <c r="H35" s="34" t="n">
        <f aca="false">INDEX('Cost by Tier'!$G$5:$G$124,MATCH($F35&amp;"|"&amp;$C35,'Cost by Tier'!$R$5:$R$124,0))</f>
        <v>640.66</v>
      </c>
      <c r="I35" s="34" t="n">
        <f aca="false">INDEX('Cost by Tier'!$J$5:$J$124,MATCH($F35&amp;"|"&amp;$C35,'Cost by Tier'!$R$5:$R$124,0))</f>
        <v>300</v>
      </c>
      <c r="J35" s="34" t="n">
        <f aca="false">INDEX('Cost by Tier'!$K$5:$K$124,MATCH($F35&amp;"|"&amp;$C35,'Cost by Tier'!$R$5:$R$124,0))</f>
        <v>340.66</v>
      </c>
      <c r="K35" s="36" t="n">
        <f aca="false">INDEX('Cost by Tier'!$M$5:$M$124,MATCH($F35&amp;"|"&amp;$C35,'Cost by Tier'!$R$5:$R$124,0))</f>
        <v>4087.92</v>
      </c>
      <c r="L35" s="36" t="n">
        <f aca="false">INDEX('Cost by Tier'!$O$5:$O$124,MATCH($F35&amp;"|"&amp;$C35,'Cost by Tier'!$R$5:$R$124,0))</f>
        <v>2000</v>
      </c>
      <c r="M35" s="36" t="n">
        <f aca="false">INDEX('Cost by Tier'!$P$5:$P$124,MATCH($F35&amp;"|"&amp;$C35,'Cost by Tier'!$R$5:$R$124,0))</f>
        <v>3500</v>
      </c>
      <c r="N35" s="46" t="n">
        <f aca="false">INDEX('Cost by Tier'!$Q$5:$Q$124,MATCH($F35&amp;"|"&amp;$C35,'Cost by Tier'!$R$5:$R$124,0))</f>
        <v>7587.92</v>
      </c>
    </row>
    <row r="36" customFormat="false" ht="15" hidden="false" customHeight="false" outlineLevel="0" collapsed="false">
      <c r="A36" s="11" t="s">
        <v>52</v>
      </c>
      <c r="B36" s="11" t="s">
        <v>12</v>
      </c>
      <c r="C36" s="11" t="s">
        <v>13</v>
      </c>
      <c r="D36" s="11" t="s">
        <v>32</v>
      </c>
      <c r="E36" s="11" t="s">
        <v>113</v>
      </c>
      <c r="F36" s="11" t="s">
        <v>114</v>
      </c>
      <c r="G36" s="33" t="str">
        <f aca="false">INDEX('Cost by Tier'!$F$5:$F$124,MATCH($F36&amp;"|"&amp;$C36,'Cost by Tier'!$R$5:$R$124,0))</f>
        <v>Y</v>
      </c>
      <c r="H36" s="34" t="n">
        <f aca="false">INDEX('Cost by Tier'!$G$5:$G$124,MATCH($F36&amp;"|"&amp;$C36,'Cost by Tier'!$R$5:$R$124,0))</f>
        <v>606.87</v>
      </c>
      <c r="I36" s="34" t="n">
        <f aca="false">INDEX('Cost by Tier'!$J$5:$J$124,MATCH($F36&amp;"|"&amp;$C36,'Cost by Tier'!$R$5:$R$124,0))</f>
        <v>300</v>
      </c>
      <c r="J36" s="34" t="n">
        <f aca="false">INDEX('Cost by Tier'!$K$5:$K$124,MATCH($F36&amp;"|"&amp;$C36,'Cost by Tier'!$R$5:$R$124,0))</f>
        <v>306.87</v>
      </c>
      <c r="K36" s="36" t="n">
        <f aca="false">INDEX('Cost by Tier'!$M$5:$M$124,MATCH($F36&amp;"|"&amp;$C36,'Cost by Tier'!$R$5:$R$124,0))</f>
        <v>3682.44</v>
      </c>
      <c r="L36" s="36" t="n">
        <f aca="false">INDEX('Cost by Tier'!$O$5:$O$124,MATCH($F36&amp;"|"&amp;$C36,'Cost by Tier'!$R$5:$R$124,0))</f>
        <v>2500</v>
      </c>
      <c r="M36" s="36" t="n">
        <f aca="false">INDEX('Cost by Tier'!$P$5:$P$124,MATCH($F36&amp;"|"&amp;$C36,'Cost by Tier'!$R$5:$R$124,0))</f>
        <v>3500</v>
      </c>
      <c r="N36" s="46" t="n">
        <f aca="false">INDEX('Cost by Tier'!$Q$5:$Q$124,MATCH($F36&amp;"|"&amp;$C36,'Cost by Tier'!$R$5:$R$124,0))</f>
        <v>7182.44</v>
      </c>
    </row>
    <row r="37" customFormat="false" ht="15" hidden="false" customHeight="false" outlineLevel="0" collapsed="false">
      <c r="A37" s="11" t="s">
        <v>52</v>
      </c>
      <c r="B37" s="11" t="s">
        <v>12</v>
      </c>
      <c r="C37" s="11" t="s">
        <v>13</v>
      </c>
      <c r="D37" s="11" t="s">
        <v>32</v>
      </c>
      <c r="E37" s="11" t="s">
        <v>115</v>
      </c>
      <c r="F37" s="11" t="s">
        <v>116</v>
      </c>
      <c r="G37" s="33" t="str">
        <f aca="false">INDEX('Cost by Tier'!$F$5:$F$124,MATCH($F37&amp;"|"&amp;$C37,'Cost by Tier'!$R$5:$R$124,0))</f>
        <v>N</v>
      </c>
      <c r="H37" s="34" t="n">
        <f aca="false">INDEX('Cost by Tier'!$G$5:$G$124,MATCH($F37&amp;"|"&amp;$C37,'Cost by Tier'!$R$5:$R$124,0))</f>
        <v>882.91</v>
      </c>
      <c r="I37" s="34" t="n">
        <f aca="false">INDEX('Cost by Tier'!$J$5:$J$124,MATCH($F37&amp;"|"&amp;$C37,'Cost by Tier'!$R$5:$R$124,0))</f>
        <v>300</v>
      </c>
      <c r="J37" s="34" t="n">
        <f aca="false">INDEX('Cost by Tier'!$K$5:$K$124,MATCH($F37&amp;"|"&amp;$C37,'Cost by Tier'!$R$5:$R$124,0))</f>
        <v>582.91</v>
      </c>
      <c r="K37" s="36" t="n">
        <f aca="false">INDEX('Cost by Tier'!$M$5:$M$124,MATCH($F37&amp;"|"&amp;$C37,'Cost by Tier'!$R$5:$R$124,0))</f>
        <v>6994.92</v>
      </c>
      <c r="L37" s="36" t="n">
        <f aca="false">INDEX('Cost by Tier'!$O$5:$O$124,MATCH($F37&amp;"|"&amp;$C37,'Cost by Tier'!$R$5:$R$124,0))</f>
        <v>500</v>
      </c>
      <c r="M37" s="36" t="n">
        <f aca="false">INDEX('Cost by Tier'!$P$5:$P$124,MATCH($F37&amp;"|"&amp;$C37,'Cost by Tier'!$R$5:$R$124,0))</f>
        <v>3500</v>
      </c>
      <c r="N37" s="46" t="n">
        <f aca="false">INDEX('Cost by Tier'!$Q$5:$Q$124,MATCH($F37&amp;"|"&amp;$C37,'Cost by Tier'!$R$5:$R$124,0))</f>
        <v>10494.92</v>
      </c>
    </row>
    <row r="38" customFormat="false" ht="15" hidden="false" customHeight="false" outlineLevel="0" collapsed="false">
      <c r="A38" s="11" t="s">
        <v>52</v>
      </c>
      <c r="B38" s="11" t="s">
        <v>12</v>
      </c>
      <c r="C38" s="11" t="s">
        <v>13</v>
      </c>
      <c r="D38" s="11" t="s">
        <v>32</v>
      </c>
      <c r="E38" s="11" t="s">
        <v>123</v>
      </c>
      <c r="F38" s="11" t="s">
        <v>124</v>
      </c>
      <c r="G38" s="33" t="str">
        <f aca="false">INDEX('Cost by Tier'!$F$5:$F$124,MATCH($F38&amp;"|"&amp;$C38,'Cost by Tier'!$R$5:$R$124,0))</f>
        <v>N</v>
      </c>
      <c r="H38" s="34" t="n">
        <f aca="false">INDEX('Cost by Tier'!$G$5:$G$124,MATCH($F38&amp;"|"&amp;$C38,'Cost by Tier'!$R$5:$R$124,0))</f>
        <v>768.21</v>
      </c>
      <c r="I38" s="34" t="n">
        <f aca="false">INDEX('Cost by Tier'!$J$5:$J$124,MATCH($F38&amp;"|"&amp;$C38,'Cost by Tier'!$R$5:$R$124,0))</f>
        <v>300</v>
      </c>
      <c r="J38" s="34" t="n">
        <f aca="false">INDEX('Cost by Tier'!$K$5:$K$124,MATCH($F38&amp;"|"&amp;$C38,'Cost by Tier'!$R$5:$R$124,0))</f>
        <v>468.21</v>
      </c>
      <c r="K38" s="36" t="n">
        <f aca="false">INDEX('Cost by Tier'!$M$5:$M$124,MATCH($F38&amp;"|"&amp;$C38,'Cost by Tier'!$R$5:$R$124,0))</f>
        <v>5618.52</v>
      </c>
      <c r="L38" s="36" t="n">
        <f aca="false">INDEX('Cost by Tier'!$O$5:$O$124,MATCH($F38&amp;"|"&amp;$C38,'Cost by Tier'!$R$5:$R$124,0))</f>
        <v>1000</v>
      </c>
      <c r="M38" s="36" t="n">
        <f aca="false">INDEX('Cost by Tier'!$P$5:$P$124,MATCH($F38&amp;"|"&amp;$C38,'Cost by Tier'!$R$5:$R$124,0))</f>
        <v>4500</v>
      </c>
      <c r="N38" s="46" t="n">
        <f aca="false">INDEX('Cost by Tier'!$Q$5:$Q$124,MATCH($F38&amp;"|"&amp;$C38,'Cost by Tier'!$R$5:$R$124,0))</f>
        <v>10118.52</v>
      </c>
    </row>
    <row r="39" customFormat="false" ht="15" hidden="false" customHeight="false" outlineLevel="0" collapsed="false">
      <c r="A39" s="11" t="s">
        <v>52</v>
      </c>
      <c r="B39" s="11" t="s">
        <v>12</v>
      </c>
      <c r="C39" s="11" t="s">
        <v>13</v>
      </c>
      <c r="D39" s="11" t="s">
        <v>32</v>
      </c>
      <c r="E39" s="11" t="s">
        <v>126</v>
      </c>
      <c r="F39" s="11" t="s">
        <v>127</v>
      </c>
      <c r="G39" s="33" t="str">
        <f aca="false">INDEX('Cost by Tier'!$F$5:$F$124,MATCH($F39&amp;"|"&amp;$C39,'Cost by Tier'!$R$5:$R$124,0))</f>
        <v>Y</v>
      </c>
      <c r="H39" s="34" t="n">
        <f aca="false">INDEX('Cost by Tier'!$G$5:$G$124,MATCH($F39&amp;"|"&amp;$C39,'Cost by Tier'!$R$5:$R$124,0))</f>
        <v>490.12</v>
      </c>
      <c r="I39" s="34" t="n">
        <f aca="false">INDEX('Cost by Tier'!$J$5:$J$124,MATCH($F39&amp;"|"&amp;$C39,'Cost by Tier'!$R$5:$R$124,0))</f>
        <v>300</v>
      </c>
      <c r="J39" s="34" t="n">
        <f aca="false">INDEX('Cost by Tier'!$K$5:$K$124,MATCH($F39&amp;"|"&amp;$C39,'Cost by Tier'!$R$5:$R$124,0))</f>
        <v>190.12</v>
      </c>
      <c r="K39" s="36" t="n">
        <f aca="false">INDEX('Cost by Tier'!$M$5:$M$124,MATCH($F39&amp;"|"&amp;$C39,'Cost by Tier'!$R$5:$R$124,0))</f>
        <v>2281.44</v>
      </c>
      <c r="L39" s="36" t="n">
        <f aca="false">INDEX('Cost by Tier'!$O$5:$O$124,MATCH($F39&amp;"|"&amp;$C39,'Cost by Tier'!$R$5:$R$124,0))</f>
        <v>3500</v>
      </c>
      <c r="M39" s="36" t="n">
        <f aca="false">INDEX('Cost by Tier'!$P$5:$P$124,MATCH($F39&amp;"|"&amp;$C39,'Cost by Tier'!$R$5:$R$124,0))</f>
        <v>6350</v>
      </c>
      <c r="N39" s="46" t="n">
        <f aca="false">INDEX('Cost by Tier'!$Q$5:$Q$124,MATCH($F39&amp;"|"&amp;$C39,'Cost by Tier'!$R$5:$R$124,0))</f>
        <v>8631.44</v>
      </c>
    </row>
    <row r="40" customFormat="false" ht="15" hidden="false" customHeight="false" outlineLevel="0" collapsed="false">
      <c r="A40" s="11" t="s">
        <v>52</v>
      </c>
      <c r="B40" s="11" t="s">
        <v>12</v>
      </c>
      <c r="C40" s="11" t="s">
        <v>13</v>
      </c>
      <c r="D40" s="11" t="s">
        <v>32</v>
      </c>
      <c r="E40" s="11" t="s">
        <v>131</v>
      </c>
      <c r="F40" s="11" t="s">
        <v>132</v>
      </c>
      <c r="G40" s="33" t="str">
        <f aca="false">INDEX('Cost by Tier'!$F$5:$F$124,MATCH($F40&amp;"|"&amp;$C40,'Cost by Tier'!$R$5:$R$124,0))</f>
        <v>N</v>
      </c>
      <c r="H40" s="34" t="n">
        <f aca="false">INDEX('Cost by Tier'!$G$5:$G$124,MATCH($F40&amp;"|"&amp;$C40,'Cost by Tier'!$R$5:$R$124,0))</f>
        <v>825.23</v>
      </c>
      <c r="I40" s="34" t="n">
        <f aca="false">INDEX('Cost by Tier'!$J$5:$J$124,MATCH($F40&amp;"|"&amp;$C40,'Cost by Tier'!$R$5:$R$124,0))</f>
        <v>300</v>
      </c>
      <c r="J40" s="34" t="n">
        <f aca="false">INDEX('Cost by Tier'!$K$5:$K$124,MATCH($F40&amp;"|"&amp;$C40,'Cost by Tier'!$R$5:$R$124,0))</f>
        <v>525.23</v>
      </c>
      <c r="K40" s="36" t="n">
        <f aca="false">INDEX('Cost by Tier'!$M$5:$M$124,MATCH($F40&amp;"|"&amp;$C40,'Cost by Tier'!$R$5:$R$124,0))</f>
        <v>6302.76</v>
      </c>
      <c r="L40" s="36" t="n">
        <f aca="false">INDEX('Cost by Tier'!$O$5:$O$124,MATCH($F40&amp;"|"&amp;$C40,'Cost by Tier'!$R$5:$R$124,0))</f>
        <v>500</v>
      </c>
      <c r="M40" s="36" t="n">
        <f aca="false">INDEX('Cost by Tier'!$P$5:$P$124,MATCH($F40&amp;"|"&amp;$C40,'Cost by Tier'!$R$5:$R$124,0))</f>
        <v>3500</v>
      </c>
      <c r="N40" s="46" t="n">
        <f aca="false">INDEX('Cost by Tier'!$Q$5:$Q$124,MATCH($F40&amp;"|"&amp;$C40,'Cost by Tier'!$R$5:$R$124,0))</f>
        <v>9802.76</v>
      </c>
    </row>
    <row r="41" customFormat="false" ht="15" hidden="false" customHeight="false" outlineLevel="0" collapsed="false">
      <c r="A41" s="11" t="s">
        <v>52</v>
      </c>
      <c r="B41" s="11" t="s">
        <v>12</v>
      </c>
      <c r="C41" s="11" t="s">
        <v>13</v>
      </c>
      <c r="D41" s="11" t="s">
        <v>32</v>
      </c>
      <c r="E41" s="11" t="s">
        <v>133</v>
      </c>
      <c r="F41" s="11" t="s">
        <v>134</v>
      </c>
      <c r="G41" s="33" t="str">
        <f aca="false">INDEX('Cost by Tier'!$F$5:$F$124,MATCH($F41&amp;"|"&amp;$C41,'Cost by Tier'!$R$5:$R$124,0))</f>
        <v>N</v>
      </c>
      <c r="H41" s="34" t="n">
        <f aca="false">INDEX('Cost by Tier'!$G$5:$G$124,MATCH($F41&amp;"|"&amp;$C41,'Cost by Tier'!$R$5:$R$124,0))</f>
        <v>749.15</v>
      </c>
      <c r="I41" s="34" t="n">
        <f aca="false">INDEX('Cost by Tier'!$J$5:$J$124,MATCH($F41&amp;"|"&amp;$C41,'Cost by Tier'!$R$5:$R$124,0))</f>
        <v>300</v>
      </c>
      <c r="J41" s="34" t="n">
        <f aca="false">INDEX('Cost by Tier'!$K$5:$K$124,MATCH($F41&amp;"|"&amp;$C41,'Cost by Tier'!$R$5:$R$124,0))</f>
        <v>449.15</v>
      </c>
      <c r="K41" s="36" t="n">
        <f aca="false">INDEX('Cost by Tier'!$M$5:$M$124,MATCH($F41&amp;"|"&amp;$C41,'Cost by Tier'!$R$5:$R$124,0))</f>
        <v>5389.8</v>
      </c>
      <c r="L41" s="36" t="n">
        <f aca="false">INDEX('Cost by Tier'!$O$5:$O$124,MATCH($F41&amp;"|"&amp;$C41,'Cost by Tier'!$R$5:$R$124,0))</f>
        <v>1000</v>
      </c>
      <c r="M41" s="36" t="n">
        <f aca="false">INDEX('Cost by Tier'!$P$5:$P$124,MATCH($F41&amp;"|"&amp;$C41,'Cost by Tier'!$R$5:$R$124,0))</f>
        <v>4500</v>
      </c>
      <c r="N41" s="46" t="n">
        <f aca="false">INDEX('Cost by Tier'!$Q$5:$Q$124,MATCH($F41&amp;"|"&amp;$C41,'Cost by Tier'!$R$5:$R$124,0))</f>
        <v>9889.8</v>
      </c>
    </row>
    <row r="42" customFormat="false" ht="15" hidden="false" customHeight="false" outlineLevel="0" collapsed="false">
      <c r="A42" s="11" t="s">
        <v>52</v>
      </c>
      <c r="B42" s="11" t="s">
        <v>12</v>
      </c>
      <c r="C42" s="11" t="s">
        <v>13</v>
      </c>
      <c r="D42" s="11" t="s">
        <v>32</v>
      </c>
      <c r="E42" s="11" t="s">
        <v>135</v>
      </c>
      <c r="F42" s="11" t="s">
        <v>136</v>
      </c>
      <c r="G42" s="33" t="str">
        <f aca="false">INDEX('Cost by Tier'!$F$5:$F$124,MATCH($F42&amp;"|"&amp;$C42,'Cost by Tier'!$R$5:$R$124,0))</f>
        <v>N</v>
      </c>
      <c r="H42" s="34" t="n">
        <f aca="false">INDEX('Cost by Tier'!$G$5:$G$124,MATCH($F42&amp;"|"&amp;$C42,'Cost by Tier'!$R$5:$R$124,0))</f>
        <v>744.88</v>
      </c>
      <c r="I42" s="34" t="n">
        <f aca="false">INDEX('Cost by Tier'!$J$5:$J$124,MATCH($F42&amp;"|"&amp;$C42,'Cost by Tier'!$R$5:$R$124,0))</f>
        <v>300</v>
      </c>
      <c r="J42" s="34" t="n">
        <f aca="false">INDEX('Cost by Tier'!$K$5:$K$124,MATCH($F42&amp;"|"&amp;$C42,'Cost by Tier'!$R$5:$R$124,0))</f>
        <v>444.88</v>
      </c>
      <c r="K42" s="36" t="n">
        <f aca="false">INDEX('Cost by Tier'!$M$5:$M$124,MATCH($F42&amp;"|"&amp;$C42,'Cost by Tier'!$R$5:$R$124,0))</f>
        <v>5338.56</v>
      </c>
      <c r="L42" s="36" t="n">
        <f aca="false">INDEX('Cost by Tier'!$O$5:$O$124,MATCH($F42&amp;"|"&amp;$C42,'Cost by Tier'!$R$5:$R$124,0))</f>
        <v>1500</v>
      </c>
      <c r="M42" s="36" t="n">
        <f aca="false">INDEX('Cost by Tier'!$P$5:$P$124,MATCH($F42&amp;"|"&amp;$C42,'Cost by Tier'!$R$5:$R$124,0))</f>
        <v>5000</v>
      </c>
      <c r="N42" s="46" t="n">
        <f aca="false">INDEX('Cost by Tier'!$Q$5:$Q$124,MATCH($F42&amp;"|"&amp;$C42,'Cost by Tier'!$R$5:$R$124,0))</f>
        <v>10338.56</v>
      </c>
    </row>
    <row r="43" customFormat="false" ht="15" hidden="false" customHeight="false" outlineLevel="0" collapsed="false">
      <c r="A43" s="11" t="s">
        <v>52</v>
      </c>
      <c r="B43" s="11" t="s">
        <v>12</v>
      </c>
      <c r="C43" s="11" t="s">
        <v>13</v>
      </c>
      <c r="D43" s="11" t="s">
        <v>32</v>
      </c>
      <c r="E43" s="11" t="s">
        <v>139</v>
      </c>
      <c r="F43" s="11" t="s">
        <v>140</v>
      </c>
      <c r="G43" s="33" t="str">
        <f aca="false">INDEX('Cost by Tier'!$F$5:$F$124,MATCH($F43&amp;"|"&amp;$C43,'Cost by Tier'!$R$5:$R$124,0))</f>
        <v>Y</v>
      </c>
      <c r="H43" s="34" t="n">
        <f aca="false">INDEX('Cost by Tier'!$G$5:$G$124,MATCH($F43&amp;"|"&amp;$C43,'Cost by Tier'!$R$5:$R$124,0))</f>
        <v>437.9</v>
      </c>
      <c r="I43" s="34" t="n">
        <f aca="false">INDEX('Cost by Tier'!$J$5:$J$124,MATCH($F43&amp;"|"&amp;$C43,'Cost by Tier'!$R$5:$R$124,0))</f>
        <v>300</v>
      </c>
      <c r="J43" s="34" t="n">
        <f aca="false">INDEX('Cost by Tier'!$K$5:$K$124,MATCH($F43&amp;"|"&amp;$C43,'Cost by Tier'!$R$5:$R$124,0))</f>
        <v>137.9</v>
      </c>
      <c r="K43" s="36" t="n">
        <f aca="false">INDEX('Cost by Tier'!$M$5:$M$124,MATCH($F43&amp;"|"&amp;$C43,'Cost by Tier'!$R$5:$R$124,0))</f>
        <v>1654.8</v>
      </c>
      <c r="L43" s="36" t="n">
        <f aca="false">INDEX('Cost by Tier'!$O$5:$O$124,MATCH($F43&amp;"|"&amp;$C43,'Cost by Tier'!$R$5:$R$124,0))</f>
        <v>6000</v>
      </c>
      <c r="M43" s="36" t="n">
        <f aca="false">INDEX('Cost by Tier'!$P$5:$P$124,MATCH($F43&amp;"|"&amp;$C43,'Cost by Tier'!$R$5:$R$124,0))</f>
        <v>6500</v>
      </c>
      <c r="N43" s="46" t="n">
        <f aca="false">INDEX('Cost by Tier'!$Q$5:$Q$124,MATCH($F43&amp;"|"&amp;$C43,'Cost by Tier'!$R$5:$R$124,0))</f>
        <v>8154.8</v>
      </c>
    </row>
    <row r="44" customFormat="false" ht="15" hidden="false" customHeight="false" outlineLevel="0" collapsed="false">
      <c r="A44" s="11" t="s">
        <v>52</v>
      </c>
      <c r="B44" s="11" t="s">
        <v>12</v>
      </c>
      <c r="C44" s="11" t="s">
        <v>13</v>
      </c>
      <c r="D44" s="11" t="s">
        <v>32</v>
      </c>
      <c r="E44" s="11" t="s">
        <v>141</v>
      </c>
      <c r="F44" s="11" t="s">
        <v>142</v>
      </c>
      <c r="G44" s="33" t="str">
        <f aca="false">INDEX('Cost by Tier'!$F$5:$F$124,MATCH($F44&amp;"|"&amp;$C44,'Cost by Tier'!$R$5:$R$124,0))</f>
        <v>N</v>
      </c>
      <c r="H44" s="34" t="n">
        <f aca="false">INDEX('Cost by Tier'!$G$5:$G$124,MATCH($F44&amp;"|"&amp;$C44,'Cost by Tier'!$R$5:$R$124,0))</f>
        <v>629.01</v>
      </c>
      <c r="I44" s="34" t="n">
        <f aca="false">INDEX('Cost by Tier'!$J$5:$J$124,MATCH($F44&amp;"|"&amp;$C44,'Cost by Tier'!$R$5:$R$124,0))</f>
        <v>300</v>
      </c>
      <c r="J44" s="34" t="n">
        <f aca="false">INDEX('Cost by Tier'!$K$5:$K$124,MATCH($F44&amp;"|"&amp;$C44,'Cost by Tier'!$R$5:$R$124,0))</f>
        <v>329.01</v>
      </c>
      <c r="K44" s="36" t="n">
        <f aca="false">INDEX('Cost by Tier'!$M$5:$M$124,MATCH($F44&amp;"|"&amp;$C44,'Cost by Tier'!$R$5:$R$124,0))</f>
        <v>3948.12</v>
      </c>
      <c r="L44" s="36" t="n">
        <f aca="false">INDEX('Cost by Tier'!$O$5:$O$124,MATCH($F44&amp;"|"&amp;$C44,'Cost by Tier'!$R$5:$R$124,0))</f>
        <v>3000</v>
      </c>
      <c r="M44" s="36" t="n">
        <f aca="false">INDEX('Cost by Tier'!$P$5:$P$124,MATCH($F44&amp;"|"&amp;$C44,'Cost by Tier'!$R$5:$R$124,0))</f>
        <v>7000</v>
      </c>
      <c r="N44" s="46" t="n">
        <f aca="false">INDEX('Cost by Tier'!$Q$5:$Q$124,MATCH($F44&amp;"|"&amp;$C44,'Cost by Tier'!$R$5:$R$124,0))</f>
        <v>10948.12</v>
      </c>
    </row>
    <row r="45" customFormat="false" ht="15" hidden="false" customHeight="false" outlineLevel="0" collapsed="false">
      <c r="A45" s="11" t="s">
        <v>52</v>
      </c>
      <c r="B45" s="11" t="s">
        <v>12</v>
      </c>
      <c r="C45" s="11" t="s">
        <v>13</v>
      </c>
      <c r="D45" s="11" t="s">
        <v>32</v>
      </c>
      <c r="E45" s="11" t="s">
        <v>33</v>
      </c>
      <c r="F45" s="11" t="s">
        <v>144</v>
      </c>
      <c r="G45" s="33" t="str">
        <f aca="false">INDEX('Cost by Tier'!$F$5:$F$124,MATCH($F45&amp;"|"&amp;$C45,'Cost by Tier'!$R$5:$R$124,0))</f>
        <v>N</v>
      </c>
      <c r="H45" s="34" t="n">
        <f aca="false">INDEX('Cost by Tier'!$G$5:$G$124,MATCH($F45&amp;"|"&amp;$C45,'Cost by Tier'!$R$5:$R$124,0))</f>
        <v>374.03</v>
      </c>
      <c r="I45" s="34" t="n">
        <f aca="false">INDEX('Cost by Tier'!$J$5:$J$124,MATCH($F45&amp;"|"&amp;$C45,'Cost by Tier'!$R$5:$R$124,0))</f>
        <v>300</v>
      </c>
      <c r="J45" s="34" t="n">
        <f aca="false">INDEX('Cost by Tier'!$K$5:$K$124,MATCH($F45&amp;"|"&amp;$C45,'Cost by Tier'!$R$5:$R$124,0))</f>
        <v>74.03</v>
      </c>
      <c r="K45" s="36" t="n">
        <f aca="false">INDEX('Cost by Tier'!$M$5:$M$124,MATCH($F45&amp;"|"&amp;$C45,'Cost by Tier'!$R$5:$R$124,0))</f>
        <v>888.36</v>
      </c>
      <c r="L45" s="36" t="n">
        <f aca="false">INDEX('Cost by Tier'!$O$5:$O$124,MATCH($F45&amp;"|"&amp;$C45,'Cost by Tier'!$R$5:$R$124,0))</f>
        <v>8000</v>
      </c>
      <c r="M45" s="36" t="n">
        <f aca="false">INDEX('Cost by Tier'!$P$5:$P$124,MATCH($F45&amp;"|"&amp;$C45,'Cost by Tier'!$R$5:$R$124,0))</f>
        <v>10000</v>
      </c>
      <c r="N45" s="46" t="n">
        <f aca="false">INDEX('Cost by Tier'!$Q$5:$Q$124,MATCH($F45&amp;"|"&amp;$C45,'Cost by Tier'!$R$5:$R$124,0))</f>
        <v>10888.36</v>
      </c>
    </row>
    <row r="46" customFormat="false" ht="15" hidden="false" customHeight="false" outlineLevel="0" collapsed="false">
      <c r="A46" s="11" t="s">
        <v>52</v>
      </c>
      <c r="B46" s="11" t="s">
        <v>12</v>
      </c>
      <c r="C46" s="11" t="s">
        <v>13</v>
      </c>
      <c r="D46" s="11" t="s">
        <v>35</v>
      </c>
      <c r="E46" s="11" t="s">
        <v>36</v>
      </c>
      <c r="F46" s="11" t="s">
        <v>148</v>
      </c>
      <c r="G46" s="33" t="str">
        <f aca="false">INDEX('Cost by Tier'!$F$5:$F$124,MATCH($F46&amp;"|"&amp;$C46,'Cost by Tier'!$R$5:$R$124,0))</f>
        <v>N</v>
      </c>
      <c r="H46" s="34" t="n">
        <f aca="false">INDEX('Cost by Tier'!$G$5:$G$124,MATCH($F46&amp;"|"&amp;$C46,'Cost by Tier'!$R$5:$R$124,0))</f>
        <v>385</v>
      </c>
      <c r="I46" s="34" t="n">
        <f aca="false">INDEX('Cost by Tier'!$J$5:$J$124,MATCH($F46&amp;"|"&amp;$C46,'Cost by Tier'!$R$5:$R$124,0))</f>
        <v>300</v>
      </c>
      <c r="J46" s="34" t="n">
        <f aca="false">INDEX('Cost by Tier'!$K$5:$K$124,MATCH($F46&amp;"|"&amp;$C46,'Cost by Tier'!$R$5:$R$124,0))</f>
        <v>85</v>
      </c>
      <c r="K46" s="36" t="n">
        <f aca="false">INDEX('Cost by Tier'!$M$5:$M$124,MATCH($F46&amp;"|"&amp;$C46,'Cost by Tier'!$R$5:$R$124,0))</f>
        <v>1020</v>
      </c>
      <c r="L46" s="36" t="n">
        <f aca="false">INDEX('Cost by Tier'!$O$5:$O$124,MATCH($F46&amp;"|"&amp;$C46,'Cost by Tier'!$R$5:$R$124,0))</f>
        <v>6500</v>
      </c>
      <c r="M46" s="36" t="n">
        <f aca="false">INDEX('Cost by Tier'!$P$5:$P$124,MATCH($F46&amp;"|"&amp;$C46,'Cost by Tier'!$R$5:$R$124,0))</f>
        <v>7500</v>
      </c>
      <c r="N46" s="46" t="n">
        <f aca="false">INDEX('Cost by Tier'!$Q$5:$Q$124,MATCH($F46&amp;"|"&amp;$C46,'Cost by Tier'!$R$5:$R$124,0))</f>
        <v>8520</v>
      </c>
    </row>
    <row r="47" customFormat="false" ht="15" hidden="false" customHeight="false" outlineLevel="0" collapsed="false">
      <c r="A47" s="11" t="s">
        <v>52</v>
      </c>
      <c r="B47" s="11" t="s">
        <v>12</v>
      </c>
      <c r="C47" s="11" t="s">
        <v>13</v>
      </c>
      <c r="D47" s="11" t="s">
        <v>35</v>
      </c>
      <c r="E47" s="11" t="s">
        <v>153</v>
      </c>
      <c r="F47" s="11" t="s">
        <v>154</v>
      </c>
      <c r="G47" s="33" t="str">
        <f aca="false">INDEX('Cost by Tier'!$F$5:$F$124,MATCH($F47&amp;"|"&amp;$C47,'Cost by Tier'!$R$5:$R$124,0))</f>
        <v>N</v>
      </c>
      <c r="H47" s="34" t="n">
        <f aca="false">INDEX('Cost by Tier'!$G$5:$G$124,MATCH($F47&amp;"|"&amp;$C47,'Cost by Tier'!$R$5:$R$124,0))</f>
        <v>400</v>
      </c>
      <c r="I47" s="34" t="n">
        <f aca="false">INDEX('Cost by Tier'!$J$5:$J$124,MATCH($F47&amp;"|"&amp;$C47,'Cost by Tier'!$R$5:$R$124,0))</f>
        <v>300</v>
      </c>
      <c r="J47" s="34" t="n">
        <f aca="false">INDEX('Cost by Tier'!$K$5:$K$124,MATCH($F47&amp;"|"&amp;$C47,'Cost by Tier'!$R$5:$R$124,0))</f>
        <v>100</v>
      </c>
      <c r="K47" s="36" t="n">
        <f aca="false">INDEX('Cost by Tier'!$M$5:$M$124,MATCH($F47&amp;"|"&amp;$C47,'Cost by Tier'!$R$5:$R$124,0))</f>
        <v>1200</v>
      </c>
      <c r="L47" s="36" t="n">
        <f aca="false">INDEX('Cost by Tier'!$O$5:$O$124,MATCH($F47&amp;"|"&amp;$C47,'Cost by Tier'!$R$5:$R$124,0))</f>
        <v>7150</v>
      </c>
      <c r="M47" s="36" t="n">
        <f aca="false">INDEX('Cost by Tier'!$P$5:$P$124,MATCH($F47&amp;"|"&amp;$C47,'Cost by Tier'!$R$5:$R$124,0))</f>
        <v>7600</v>
      </c>
      <c r="N47" s="46" t="n">
        <f aca="false">INDEX('Cost by Tier'!$Q$5:$Q$124,MATCH($F47&amp;"|"&amp;$C47,'Cost by Tier'!$R$5:$R$124,0))</f>
        <v>8800</v>
      </c>
    </row>
    <row r="48" customFormat="false" ht="15" hidden="false" customHeight="false" outlineLevel="0" collapsed="false">
      <c r="A48" s="11" t="s">
        <v>52</v>
      </c>
      <c r="B48" s="11" t="s">
        <v>12</v>
      </c>
      <c r="C48" s="11" t="s">
        <v>13</v>
      </c>
      <c r="D48" s="11" t="s">
        <v>35</v>
      </c>
      <c r="E48" s="11" t="s">
        <v>159</v>
      </c>
      <c r="F48" s="11" t="s">
        <v>160</v>
      </c>
      <c r="G48" s="33" t="str">
        <f aca="false">INDEX('Cost by Tier'!$F$5:$F$124,MATCH($F48&amp;"|"&amp;$C48,'Cost by Tier'!$R$5:$R$124,0))</f>
        <v>Y</v>
      </c>
      <c r="H48" s="34" t="n">
        <f aca="false">INDEX('Cost by Tier'!$G$5:$G$124,MATCH($F48&amp;"|"&amp;$C48,'Cost by Tier'!$R$5:$R$124,0))</f>
        <v>410</v>
      </c>
      <c r="I48" s="34" t="n">
        <f aca="false">INDEX('Cost by Tier'!$J$5:$J$124,MATCH($F48&amp;"|"&amp;$C48,'Cost by Tier'!$R$5:$R$124,0))</f>
        <v>300</v>
      </c>
      <c r="J48" s="34" t="n">
        <f aca="false">INDEX('Cost by Tier'!$K$5:$K$124,MATCH($F48&amp;"|"&amp;$C48,'Cost by Tier'!$R$5:$R$124,0))</f>
        <v>110</v>
      </c>
      <c r="K48" s="36" t="n">
        <f aca="false">INDEX('Cost by Tier'!$M$5:$M$124,MATCH($F48&amp;"|"&amp;$C48,'Cost by Tier'!$R$5:$R$124,0))</f>
        <v>1320</v>
      </c>
      <c r="L48" s="36" t="n">
        <f aca="false">INDEX('Cost by Tier'!$O$5:$O$124,MATCH($F48&amp;"|"&amp;$C48,'Cost by Tier'!$R$5:$R$124,0))</f>
        <v>6350</v>
      </c>
      <c r="M48" s="36" t="n">
        <f aca="false">INDEX('Cost by Tier'!$P$5:$P$124,MATCH($F48&amp;"|"&amp;$C48,'Cost by Tier'!$R$5:$R$124,0))</f>
        <v>6350</v>
      </c>
      <c r="N48" s="46" t="n">
        <f aca="false">INDEX('Cost by Tier'!$Q$5:$Q$124,MATCH($F48&amp;"|"&amp;$C48,'Cost by Tier'!$R$5:$R$124,0))</f>
        <v>7670</v>
      </c>
    </row>
    <row r="49" customFormat="false" ht="15" hidden="false" customHeight="false" outlineLevel="0" collapsed="false">
      <c r="A49" s="11" t="s">
        <v>52</v>
      </c>
      <c r="B49" s="11" t="s">
        <v>12</v>
      </c>
      <c r="C49" s="11" t="s">
        <v>13</v>
      </c>
      <c r="D49" s="11" t="s">
        <v>35</v>
      </c>
      <c r="E49" s="11" t="s">
        <v>162</v>
      </c>
      <c r="F49" s="11" t="s">
        <v>163</v>
      </c>
      <c r="G49" s="33" t="str">
        <f aca="false">INDEX('Cost by Tier'!$F$5:$F$124,MATCH($F49&amp;"|"&amp;$C49,'Cost by Tier'!$R$5:$R$124,0))</f>
        <v>Y</v>
      </c>
      <c r="H49" s="34" t="n">
        <f aca="false">INDEX('Cost by Tier'!$G$5:$G$124,MATCH($F49&amp;"|"&amp;$C49,'Cost by Tier'!$R$5:$R$124,0))</f>
        <v>494</v>
      </c>
      <c r="I49" s="34" t="n">
        <f aca="false">INDEX('Cost by Tier'!$J$5:$J$124,MATCH($F49&amp;"|"&amp;$C49,'Cost by Tier'!$R$5:$R$124,0))</f>
        <v>300</v>
      </c>
      <c r="J49" s="34" t="n">
        <f aca="false">INDEX('Cost by Tier'!$K$5:$K$124,MATCH($F49&amp;"|"&amp;$C49,'Cost by Tier'!$R$5:$R$124,0))</f>
        <v>194</v>
      </c>
      <c r="K49" s="36" t="n">
        <f aca="false">INDEX('Cost by Tier'!$M$5:$M$124,MATCH($F49&amp;"|"&amp;$C49,'Cost by Tier'!$R$5:$R$124,0))</f>
        <v>2328</v>
      </c>
      <c r="L49" s="36" t="n">
        <f aca="false">INDEX('Cost by Tier'!$O$5:$O$124,MATCH($F49&amp;"|"&amp;$C49,'Cost by Tier'!$R$5:$R$124,0))</f>
        <v>4000</v>
      </c>
      <c r="M49" s="36" t="n">
        <f aca="false">INDEX('Cost by Tier'!$P$5:$P$124,MATCH($F49&amp;"|"&amp;$C49,'Cost by Tier'!$R$5:$R$124,0))</f>
        <v>6850</v>
      </c>
      <c r="N49" s="46" t="n">
        <f aca="false">INDEX('Cost by Tier'!$Q$5:$Q$124,MATCH($F49&amp;"|"&amp;$C49,'Cost by Tier'!$R$5:$R$124,0))</f>
        <v>9178</v>
      </c>
    </row>
    <row r="50" customFormat="false" ht="15" hidden="false" customHeight="false" outlineLevel="0" collapsed="false">
      <c r="A50" s="11" t="s">
        <v>52</v>
      </c>
      <c r="B50" s="11" t="s">
        <v>12</v>
      </c>
      <c r="C50" s="11" t="s">
        <v>13</v>
      </c>
      <c r="D50" s="11" t="s">
        <v>35</v>
      </c>
      <c r="E50" s="11" t="s">
        <v>164</v>
      </c>
      <c r="F50" s="11" t="s">
        <v>165</v>
      </c>
      <c r="G50" s="33" t="str">
        <f aca="false">INDEX('Cost by Tier'!$F$5:$F$124,MATCH($F50&amp;"|"&amp;$C50,'Cost by Tier'!$R$5:$R$124,0))</f>
        <v>N</v>
      </c>
      <c r="H50" s="34" t="n">
        <f aca="false">INDEX('Cost by Tier'!$G$5:$G$124,MATCH($F50&amp;"|"&amp;$C50,'Cost by Tier'!$R$5:$R$124,0))</f>
        <v>520</v>
      </c>
      <c r="I50" s="34" t="n">
        <f aca="false">INDEX('Cost by Tier'!$J$5:$J$124,MATCH($F50&amp;"|"&amp;$C50,'Cost by Tier'!$R$5:$R$124,0))</f>
        <v>300</v>
      </c>
      <c r="J50" s="34" t="n">
        <f aca="false">INDEX('Cost by Tier'!$K$5:$K$124,MATCH($F50&amp;"|"&amp;$C50,'Cost by Tier'!$R$5:$R$124,0))</f>
        <v>220</v>
      </c>
      <c r="K50" s="36" t="n">
        <f aca="false">INDEX('Cost by Tier'!$M$5:$M$124,MATCH($F50&amp;"|"&amp;$C50,'Cost by Tier'!$R$5:$R$124,0))</f>
        <v>2640</v>
      </c>
      <c r="L50" s="36" t="n">
        <f aca="false">INDEX('Cost by Tier'!$O$5:$O$124,MATCH($F50&amp;"|"&amp;$C50,'Cost by Tier'!$R$5:$R$124,0))</f>
        <v>2500</v>
      </c>
      <c r="M50" s="36" t="n">
        <f aca="false">INDEX('Cost by Tier'!$P$5:$P$124,MATCH($F50&amp;"|"&amp;$C50,'Cost by Tier'!$R$5:$R$124,0))</f>
        <v>7500</v>
      </c>
      <c r="N50" s="46" t="n">
        <f aca="false">INDEX('Cost by Tier'!$Q$5:$Q$124,MATCH($F50&amp;"|"&amp;$C50,'Cost by Tier'!$R$5:$R$124,0))</f>
        <v>10140</v>
      </c>
    </row>
    <row r="51" customFormat="false" ht="15" hidden="false" customHeight="false" outlineLevel="0" collapsed="false">
      <c r="A51" s="11" t="s">
        <v>52</v>
      </c>
      <c r="B51" s="11" t="s">
        <v>12</v>
      </c>
      <c r="C51" s="11" t="s">
        <v>13</v>
      </c>
      <c r="D51" s="11" t="s">
        <v>35</v>
      </c>
      <c r="E51" s="11" t="s">
        <v>166</v>
      </c>
      <c r="F51" s="11" t="s">
        <v>167</v>
      </c>
      <c r="G51" s="33" t="str">
        <f aca="false">INDEX('Cost by Tier'!$F$5:$F$124,MATCH($F51&amp;"|"&amp;$C51,'Cost by Tier'!$R$5:$R$124,0))</f>
        <v>N</v>
      </c>
      <c r="H51" s="34" t="n">
        <f aca="false">INDEX('Cost by Tier'!$G$5:$G$124,MATCH($F51&amp;"|"&amp;$C51,'Cost by Tier'!$R$5:$R$124,0))</f>
        <v>530</v>
      </c>
      <c r="I51" s="34" t="n">
        <f aca="false">INDEX('Cost by Tier'!$J$5:$J$124,MATCH($F51&amp;"|"&amp;$C51,'Cost by Tier'!$R$5:$R$124,0))</f>
        <v>300</v>
      </c>
      <c r="J51" s="34" t="n">
        <f aca="false">INDEX('Cost by Tier'!$K$5:$K$124,MATCH($F51&amp;"|"&amp;$C51,'Cost by Tier'!$R$5:$R$124,0))</f>
        <v>230</v>
      </c>
      <c r="K51" s="36" t="n">
        <f aca="false">INDEX('Cost by Tier'!$M$5:$M$124,MATCH($F51&amp;"|"&amp;$C51,'Cost by Tier'!$R$5:$R$124,0))</f>
        <v>2760</v>
      </c>
      <c r="L51" s="36" t="n">
        <f aca="false">INDEX('Cost by Tier'!$O$5:$O$124,MATCH($F51&amp;"|"&amp;$C51,'Cost by Tier'!$R$5:$R$124,0))</f>
        <v>5000</v>
      </c>
      <c r="M51" s="36" t="n">
        <f aca="false">INDEX('Cost by Tier'!$P$5:$P$124,MATCH($F51&amp;"|"&amp;$C51,'Cost by Tier'!$R$5:$R$124,0))</f>
        <v>7600</v>
      </c>
      <c r="N51" s="46" t="n">
        <f aca="false">INDEX('Cost by Tier'!$Q$5:$Q$124,MATCH($F51&amp;"|"&amp;$C51,'Cost by Tier'!$R$5:$R$124,0))</f>
        <v>10360</v>
      </c>
    </row>
    <row r="52" customFormat="false" ht="15" hidden="false" customHeight="false" outlineLevel="0" collapsed="false">
      <c r="A52" s="11" t="s">
        <v>52</v>
      </c>
      <c r="B52" s="11" t="s">
        <v>12</v>
      </c>
      <c r="C52" s="11" t="s">
        <v>13</v>
      </c>
      <c r="D52" s="11" t="s">
        <v>35</v>
      </c>
      <c r="E52" s="11" t="s">
        <v>170</v>
      </c>
      <c r="F52" s="11" t="s">
        <v>171</v>
      </c>
      <c r="G52" s="33" t="str">
        <f aca="false">INDEX('Cost by Tier'!$F$5:$F$124,MATCH($F52&amp;"|"&amp;$C52,'Cost by Tier'!$R$5:$R$124,0))</f>
        <v>N</v>
      </c>
      <c r="H52" s="34" t="n">
        <f aca="false">INDEX('Cost by Tier'!$G$5:$G$124,MATCH($F52&amp;"|"&amp;$C52,'Cost by Tier'!$R$5:$R$124,0))</f>
        <v>581</v>
      </c>
      <c r="I52" s="34" t="n">
        <f aca="false">INDEX('Cost by Tier'!$J$5:$J$124,MATCH($F52&amp;"|"&amp;$C52,'Cost by Tier'!$R$5:$R$124,0))</f>
        <v>300</v>
      </c>
      <c r="J52" s="34" t="n">
        <f aca="false">INDEX('Cost by Tier'!$K$5:$K$124,MATCH($F52&amp;"|"&amp;$C52,'Cost by Tier'!$R$5:$R$124,0))</f>
        <v>281</v>
      </c>
      <c r="K52" s="36" t="n">
        <f aca="false">INDEX('Cost by Tier'!$M$5:$M$124,MATCH($F52&amp;"|"&amp;$C52,'Cost by Tier'!$R$5:$R$124,0))</f>
        <v>3372</v>
      </c>
      <c r="L52" s="36" t="n">
        <f aca="false">INDEX('Cost by Tier'!$O$5:$O$124,MATCH($F52&amp;"|"&amp;$C52,'Cost by Tier'!$R$5:$R$124,0))</f>
        <v>2000</v>
      </c>
      <c r="M52" s="36" t="n">
        <f aca="false">INDEX('Cost by Tier'!$P$5:$P$124,MATCH($F52&amp;"|"&amp;$C52,'Cost by Tier'!$R$5:$R$124,0))</f>
        <v>6500</v>
      </c>
      <c r="N52" s="46" t="n">
        <f aca="false">INDEX('Cost by Tier'!$Q$5:$Q$124,MATCH($F52&amp;"|"&amp;$C52,'Cost by Tier'!$R$5:$R$124,0))</f>
        <v>9872</v>
      </c>
    </row>
    <row r="53" customFormat="false" ht="15" hidden="false" customHeight="false" outlineLevel="0" collapsed="false">
      <c r="A53" s="11" t="s">
        <v>52</v>
      </c>
      <c r="B53" s="11" t="s">
        <v>12</v>
      </c>
      <c r="C53" s="11" t="s">
        <v>13</v>
      </c>
      <c r="D53" s="11" t="s">
        <v>35</v>
      </c>
      <c r="E53" s="11" t="s">
        <v>175</v>
      </c>
      <c r="F53" s="11" t="s">
        <v>176</v>
      </c>
      <c r="G53" s="33" t="str">
        <f aca="false">INDEX('Cost by Tier'!$F$5:$F$124,MATCH($F53&amp;"|"&amp;$C53,'Cost by Tier'!$R$5:$R$124,0))</f>
        <v>N</v>
      </c>
      <c r="H53" s="34" t="n">
        <f aca="false">INDEX('Cost by Tier'!$G$5:$G$124,MATCH($F53&amp;"|"&amp;$C53,'Cost by Tier'!$R$5:$R$124,0))</f>
        <v>599</v>
      </c>
      <c r="I53" s="34" t="n">
        <f aca="false">INDEX('Cost by Tier'!$J$5:$J$124,MATCH($F53&amp;"|"&amp;$C53,'Cost by Tier'!$R$5:$R$124,0))</f>
        <v>300</v>
      </c>
      <c r="J53" s="34" t="n">
        <f aca="false">INDEX('Cost by Tier'!$K$5:$K$124,MATCH($F53&amp;"|"&amp;$C53,'Cost by Tier'!$R$5:$R$124,0))</f>
        <v>299</v>
      </c>
      <c r="K53" s="36" t="n">
        <f aca="false">INDEX('Cost by Tier'!$M$5:$M$124,MATCH($F53&amp;"|"&amp;$C53,'Cost by Tier'!$R$5:$R$124,0))</f>
        <v>3588</v>
      </c>
      <c r="L53" s="36" t="n">
        <f aca="false">INDEX('Cost by Tier'!$O$5:$O$124,MATCH($F53&amp;"|"&amp;$C53,'Cost by Tier'!$R$5:$R$124,0))</f>
        <v>1000</v>
      </c>
      <c r="M53" s="36" t="n">
        <f aca="false">INDEX('Cost by Tier'!$P$5:$P$124,MATCH($F53&amp;"|"&amp;$C53,'Cost by Tier'!$R$5:$R$124,0))</f>
        <v>5500</v>
      </c>
      <c r="N53" s="46" t="n">
        <f aca="false">INDEX('Cost by Tier'!$Q$5:$Q$124,MATCH($F53&amp;"|"&amp;$C53,'Cost by Tier'!$R$5:$R$124,0))</f>
        <v>9088</v>
      </c>
    </row>
    <row r="54" customFormat="false" ht="15" hidden="false" customHeight="false" outlineLevel="0" collapsed="false">
      <c r="A54" s="11" t="s">
        <v>52</v>
      </c>
      <c r="B54" s="11" t="s">
        <v>12</v>
      </c>
      <c r="C54" s="11" t="s">
        <v>13</v>
      </c>
      <c r="D54" s="11" t="s">
        <v>35</v>
      </c>
      <c r="E54" s="11" t="s">
        <v>177</v>
      </c>
      <c r="F54" s="11" t="s">
        <v>178</v>
      </c>
      <c r="G54" s="33" t="str">
        <f aca="false">INDEX('Cost by Tier'!$F$5:$F$124,MATCH($F54&amp;"|"&amp;$C54,'Cost by Tier'!$R$5:$R$124,0))</f>
        <v>N</v>
      </c>
      <c r="H54" s="34" t="n">
        <f aca="false">INDEX('Cost by Tier'!$G$5:$G$124,MATCH($F54&amp;"|"&amp;$C54,'Cost by Tier'!$R$5:$R$124,0))</f>
        <v>626</v>
      </c>
      <c r="I54" s="34" t="n">
        <f aca="false">INDEX('Cost by Tier'!$J$5:$J$124,MATCH($F54&amp;"|"&amp;$C54,'Cost by Tier'!$R$5:$R$124,0))</f>
        <v>300</v>
      </c>
      <c r="J54" s="34" t="n">
        <f aca="false">INDEX('Cost by Tier'!$K$5:$K$124,MATCH($F54&amp;"|"&amp;$C54,'Cost by Tier'!$R$5:$R$124,0))</f>
        <v>326</v>
      </c>
      <c r="K54" s="36" t="n">
        <f aca="false">INDEX('Cost by Tier'!$M$5:$M$124,MATCH($F54&amp;"|"&amp;$C54,'Cost by Tier'!$R$5:$R$124,0))</f>
        <v>3912</v>
      </c>
      <c r="L54" s="36" t="n">
        <f aca="false">INDEX('Cost by Tier'!$O$5:$O$124,MATCH($F54&amp;"|"&amp;$C54,'Cost by Tier'!$R$5:$R$124,0))</f>
        <v>3000</v>
      </c>
      <c r="M54" s="36" t="n">
        <f aca="false">INDEX('Cost by Tier'!$P$5:$P$124,MATCH($F54&amp;"|"&amp;$C54,'Cost by Tier'!$R$5:$R$124,0))</f>
        <v>6000</v>
      </c>
      <c r="N54" s="46" t="n">
        <f aca="false">INDEX('Cost by Tier'!$Q$5:$Q$124,MATCH($F54&amp;"|"&amp;$C54,'Cost by Tier'!$R$5:$R$124,0))</f>
        <v>9912</v>
      </c>
    </row>
    <row r="55" customFormat="false" ht="15" hidden="false" customHeight="false" outlineLevel="0" collapsed="false">
      <c r="A55" s="11" t="s">
        <v>52</v>
      </c>
      <c r="B55" s="11" t="s">
        <v>12</v>
      </c>
      <c r="C55" s="11" t="s">
        <v>13</v>
      </c>
      <c r="D55" s="11" t="s">
        <v>35</v>
      </c>
      <c r="E55" s="11" t="s">
        <v>179</v>
      </c>
      <c r="F55" s="11" t="s">
        <v>180</v>
      </c>
      <c r="G55" s="33" t="str">
        <f aca="false">INDEX('Cost by Tier'!$F$5:$F$124,MATCH($F55&amp;"|"&amp;$C55,'Cost by Tier'!$R$5:$R$124,0))</f>
        <v>N</v>
      </c>
      <c r="H55" s="34" t="n">
        <f aca="false">INDEX('Cost by Tier'!$G$5:$G$124,MATCH($F55&amp;"|"&amp;$C55,'Cost by Tier'!$R$5:$R$124,0))</f>
        <v>632</v>
      </c>
      <c r="I55" s="34" t="n">
        <f aca="false">INDEX('Cost by Tier'!$J$5:$J$124,MATCH($F55&amp;"|"&amp;$C55,'Cost by Tier'!$R$5:$R$124,0))</f>
        <v>300</v>
      </c>
      <c r="J55" s="34" t="n">
        <f aca="false">INDEX('Cost by Tier'!$K$5:$K$124,MATCH($F55&amp;"|"&amp;$C55,'Cost by Tier'!$R$5:$R$124,0))</f>
        <v>332</v>
      </c>
      <c r="K55" s="36" t="n">
        <f aca="false">INDEX('Cost by Tier'!$M$5:$M$124,MATCH($F55&amp;"|"&amp;$C55,'Cost by Tier'!$R$5:$R$124,0))</f>
        <v>3984</v>
      </c>
      <c r="L55" s="36" t="n">
        <f aca="false">INDEX('Cost by Tier'!$O$5:$O$124,MATCH($F55&amp;"|"&amp;$C55,'Cost by Tier'!$R$5:$R$124,0))</f>
        <v>2000</v>
      </c>
      <c r="M55" s="36" t="n">
        <f aca="false">INDEX('Cost by Tier'!$P$5:$P$124,MATCH($F55&amp;"|"&amp;$C55,'Cost by Tier'!$R$5:$R$124,0))</f>
        <v>6850</v>
      </c>
      <c r="N55" s="46" t="n">
        <f aca="false">INDEX('Cost by Tier'!$Q$5:$Q$124,MATCH($F55&amp;"|"&amp;$C55,'Cost by Tier'!$R$5:$R$124,0))</f>
        <v>10834</v>
      </c>
    </row>
    <row r="56" customFormat="false" ht="15" hidden="false" customHeight="false" outlineLevel="0" collapsed="false">
      <c r="A56" s="11" t="s">
        <v>52</v>
      </c>
      <c r="B56" s="11" t="s">
        <v>12</v>
      </c>
      <c r="C56" s="11" t="s">
        <v>13</v>
      </c>
      <c r="D56" s="11" t="s">
        <v>35</v>
      </c>
      <c r="E56" s="11" t="s">
        <v>181</v>
      </c>
      <c r="F56" s="11" t="s">
        <v>182</v>
      </c>
      <c r="G56" s="33" t="str">
        <f aca="false">INDEX('Cost by Tier'!$F$5:$F$124,MATCH($F56&amp;"|"&amp;$C56,'Cost by Tier'!$R$5:$R$124,0))</f>
        <v>N</v>
      </c>
      <c r="H56" s="34" t="n">
        <f aca="false">INDEX('Cost by Tier'!$G$5:$G$124,MATCH($F56&amp;"|"&amp;$C56,'Cost by Tier'!$R$5:$R$124,0))</f>
        <v>640</v>
      </c>
      <c r="I56" s="34" t="n">
        <f aca="false">INDEX('Cost by Tier'!$J$5:$J$124,MATCH($F56&amp;"|"&amp;$C56,'Cost by Tier'!$R$5:$R$124,0))</f>
        <v>300</v>
      </c>
      <c r="J56" s="34" t="n">
        <f aca="false">INDEX('Cost by Tier'!$K$5:$K$124,MATCH($F56&amp;"|"&amp;$C56,'Cost by Tier'!$R$5:$R$124,0))</f>
        <v>340</v>
      </c>
      <c r="K56" s="36" t="n">
        <f aca="false">INDEX('Cost by Tier'!$M$5:$M$124,MATCH($F56&amp;"|"&amp;$C56,'Cost by Tier'!$R$5:$R$124,0))</f>
        <v>4080</v>
      </c>
      <c r="L56" s="36" t="n">
        <f aca="false">INDEX('Cost by Tier'!$O$5:$O$124,MATCH($F56&amp;"|"&amp;$C56,'Cost by Tier'!$R$5:$R$124,0))</f>
        <v>1000</v>
      </c>
      <c r="M56" s="36" t="n">
        <f aca="false">INDEX('Cost by Tier'!$P$5:$P$124,MATCH($F56&amp;"|"&amp;$C56,'Cost by Tier'!$R$5:$R$124,0))</f>
        <v>5000</v>
      </c>
      <c r="N56" s="46" t="n">
        <f aca="false">INDEX('Cost by Tier'!$Q$5:$Q$124,MATCH($F56&amp;"|"&amp;$C56,'Cost by Tier'!$R$5:$R$124,0))</f>
        <v>9080</v>
      </c>
    </row>
    <row r="57" customFormat="false" ht="15" hidden="false" customHeight="false" outlineLevel="0" collapsed="false">
      <c r="A57" s="11" t="s">
        <v>52</v>
      </c>
      <c r="B57" s="11" t="s">
        <v>12</v>
      </c>
      <c r="C57" s="11" t="s">
        <v>13</v>
      </c>
      <c r="D57" s="11" t="s">
        <v>35</v>
      </c>
      <c r="E57" s="11" t="s">
        <v>183</v>
      </c>
      <c r="F57" s="11" t="s">
        <v>184</v>
      </c>
      <c r="G57" s="33" t="str">
        <f aca="false">INDEX('Cost by Tier'!$F$5:$F$124,MATCH($F57&amp;"|"&amp;$C57,'Cost by Tier'!$R$5:$R$124,0))</f>
        <v>N</v>
      </c>
      <c r="H57" s="34" t="n">
        <f aca="false">INDEX('Cost by Tier'!$G$5:$G$124,MATCH($F57&amp;"|"&amp;$C57,'Cost by Tier'!$R$5:$R$124,0))</f>
        <v>670</v>
      </c>
      <c r="I57" s="34" t="n">
        <f aca="false">INDEX('Cost by Tier'!$J$5:$J$124,MATCH($F57&amp;"|"&amp;$C57,'Cost by Tier'!$R$5:$R$124,0))</f>
        <v>300</v>
      </c>
      <c r="J57" s="34" t="n">
        <f aca="false">INDEX('Cost by Tier'!$K$5:$K$124,MATCH($F57&amp;"|"&amp;$C57,'Cost by Tier'!$R$5:$R$124,0))</f>
        <v>370</v>
      </c>
      <c r="K57" s="36" t="n">
        <f aca="false">INDEX('Cost by Tier'!$M$5:$M$124,MATCH($F57&amp;"|"&amp;$C57,'Cost by Tier'!$R$5:$R$124,0))</f>
        <v>4440</v>
      </c>
      <c r="L57" s="36" t="n">
        <f aca="false">INDEX('Cost by Tier'!$O$5:$O$124,MATCH($F57&amp;"|"&amp;$C57,'Cost by Tier'!$R$5:$R$124,0))</f>
        <v>1000</v>
      </c>
      <c r="M57" s="36" t="n">
        <f aca="false">INDEX('Cost by Tier'!$P$5:$P$124,MATCH($F57&amp;"|"&amp;$C57,'Cost by Tier'!$R$5:$R$124,0))</f>
        <v>4500</v>
      </c>
      <c r="N57" s="46" t="n">
        <f aca="false">INDEX('Cost by Tier'!$Q$5:$Q$124,MATCH($F57&amp;"|"&amp;$C57,'Cost by Tier'!$R$5:$R$124,0))</f>
        <v>8940</v>
      </c>
    </row>
    <row r="58" customFormat="false" ht="15" hidden="false" customHeight="false" outlineLevel="0" collapsed="false">
      <c r="A58" s="11" t="s">
        <v>52</v>
      </c>
      <c r="B58" s="11" t="s">
        <v>12</v>
      </c>
      <c r="C58" s="11" t="s">
        <v>13</v>
      </c>
      <c r="D58" s="11" t="s">
        <v>35</v>
      </c>
      <c r="E58" s="11" t="s">
        <v>185</v>
      </c>
      <c r="F58" s="11" t="s">
        <v>186</v>
      </c>
      <c r="G58" s="33" t="str">
        <f aca="false">INDEX('Cost by Tier'!$F$5:$F$124,MATCH($F58&amp;"|"&amp;$C58,'Cost by Tier'!$R$5:$R$124,0))</f>
        <v>Y</v>
      </c>
      <c r="H58" s="34" t="n">
        <f aca="false">INDEX('Cost by Tier'!$G$5:$G$124,MATCH($F58&amp;"|"&amp;$C58,'Cost by Tier'!$R$5:$R$124,0))</f>
        <v>590</v>
      </c>
      <c r="I58" s="34" t="n">
        <f aca="false">INDEX('Cost by Tier'!$J$5:$J$124,MATCH($F58&amp;"|"&amp;$C58,'Cost by Tier'!$R$5:$R$124,0))</f>
        <v>300</v>
      </c>
      <c r="J58" s="34" t="n">
        <f aca="false">INDEX('Cost by Tier'!$K$5:$K$124,MATCH($F58&amp;"|"&amp;$C58,'Cost by Tier'!$R$5:$R$124,0))</f>
        <v>290</v>
      </c>
      <c r="K58" s="36" t="n">
        <f aca="false">INDEX('Cost by Tier'!$M$5:$M$124,MATCH($F58&amp;"|"&amp;$C58,'Cost by Tier'!$R$5:$R$124,0))</f>
        <v>3480</v>
      </c>
      <c r="L58" s="36" t="n">
        <f aca="false">INDEX('Cost by Tier'!$O$5:$O$124,MATCH($F58&amp;"|"&amp;$C58,'Cost by Tier'!$R$5:$R$124,0))</f>
        <v>2000</v>
      </c>
      <c r="M58" s="36" t="n">
        <f aca="false">INDEX('Cost by Tier'!$P$5:$P$124,MATCH($F58&amp;"|"&amp;$C58,'Cost by Tier'!$R$5:$R$124,0))</f>
        <v>3500</v>
      </c>
      <c r="N58" s="46" t="n">
        <f aca="false">INDEX('Cost by Tier'!$Q$5:$Q$124,MATCH($F58&amp;"|"&amp;$C58,'Cost by Tier'!$R$5:$R$124,0))</f>
        <v>6980</v>
      </c>
    </row>
    <row r="59" customFormat="false" ht="15" hidden="false" customHeight="false" outlineLevel="0" collapsed="false">
      <c r="A59" s="11" t="s">
        <v>52</v>
      </c>
      <c r="B59" s="11" t="s">
        <v>12</v>
      </c>
      <c r="C59" s="11" t="s">
        <v>13</v>
      </c>
      <c r="D59" s="11" t="s">
        <v>35</v>
      </c>
      <c r="E59" s="11" t="s">
        <v>189</v>
      </c>
      <c r="F59" s="11" t="s">
        <v>190</v>
      </c>
      <c r="G59" s="33" t="str">
        <f aca="false">INDEX('Cost by Tier'!$F$5:$F$124,MATCH($F59&amp;"|"&amp;$C59,'Cost by Tier'!$R$5:$R$124,0))</f>
        <v>N</v>
      </c>
      <c r="H59" s="34" t="n">
        <f aca="false">INDEX('Cost by Tier'!$G$5:$G$124,MATCH($F59&amp;"|"&amp;$C59,'Cost by Tier'!$R$5:$R$124,0))</f>
        <v>743</v>
      </c>
      <c r="I59" s="34" t="n">
        <f aca="false">INDEX('Cost by Tier'!$J$5:$J$124,MATCH($F59&amp;"|"&amp;$C59,'Cost by Tier'!$R$5:$R$124,0))</f>
        <v>300</v>
      </c>
      <c r="J59" s="34" t="n">
        <f aca="false">INDEX('Cost by Tier'!$K$5:$K$124,MATCH($F59&amp;"|"&amp;$C59,'Cost by Tier'!$R$5:$R$124,0))</f>
        <v>443</v>
      </c>
      <c r="K59" s="36" t="n">
        <f aca="false">INDEX('Cost by Tier'!$M$5:$M$124,MATCH($F59&amp;"|"&amp;$C59,'Cost by Tier'!$R$5:$R$124,0))</f>
        <v>5316</v>
      </c>
      <c r="L59" s="36" t="n">
        <f aca="false">INDEX('Cost by Tier'!$O$5:$O$124,MATCH($F59&amp;"|"&amp;$C59,'Cost by Tier'!$R$5:$R$124,0))</f>
        <v>750</v>
      </c>
      <c r="M59" s="36" t="n">
        <f aca="false">INDEX('Cost by Tier'!$P$5:$P$124,MATCH($F59&amp;"|"&amp;$C59,'Cost by Tier'!$R$5:$R$124,0))</f>
        <v>4000</v>
      </c>
      <c r="N59" s="46" t="n">
        <f aca="false">INDEX('Cost by Tier'!$Q$5:$Q$124,MATCH($F59&amp;"|"&amp;$C59,'Cost by Tier'!$R$5:$R$124,0))</f>
        <v>9316</v>
      </c>
    </row>
    <row r="60" customFormat="false" ht="15" hidden="false" customHeight="false" outlineLevel="0" collapsed="false">
      <c r="A60" s="11" t="s">
        <v>52</v>
      </c>
      <c r="B60" s="11" t="s">
        <v>12</v>
      </c>
      <c r="C60" s="11" t="s">
        <v>13</v>
      </c>
      <c r="D60" s="11" t="s">
        <v>35</v>
      </c>
      <c r="E60" s="11" t="s">
        <v>191</v>
      </c>
      <c r="F60" s="11" t="s">
        <v>192</v>
      </c>
      <c r="G60" s="33" t="str">
        <f aca="false">INDEX('Cost by Tier'!$F$5:$F$124,MATCH($F60&amp;"|"&amp;$C60,'Cost by Tier'!$R$5:$R$124,0))</f>
        <v>N</v>
      </c>
      <c r="H60" s="34" t="n">
        <f aca="false">INDEX('Cost by Tier'!$G$5:$G$124,MATCH($F60&amp;"|"&amp;$C60,'Cost by Tier'!$R$5:$R$124,0))</f>
        <v>794</v>
      </c>
      <c r="I60" s="34" t="n">
        <f aca="false">INDEX('Cost by Tier'!$J$5:$J$124,MATCH($F60&amp;"|"&amp;$C60,'Cost by Tier'!$R$5:$R$124,0))</f>
        <v>300</v>
      </c>
      <c r="J60" s="34" t="n">
        <f aca="false">INDEX('Cost by Tier'!$K$5:$K$124,MATCH($F60&amp;"|"&amp;$C60,'Cost by Tier'!$R$5:$R$124,0))</f>
        <v>494</v>
      </c>
      <c r="K60" s="36" t="n">
        <f aca="false">INDEX('Cost by Tier'!$M$5:$M$124,MATCH($F60&amp;"|"&amp;$C60,'Cost by Tier'!$R$5:$R$124,0))</f>
        <v>5928</v>
      </c>
      <c r="L60" s="36" t="n">
        <f aca="false">INDEX('Cost by Tier'!$O$5:$O$124,MATCH($F60&amp;"|"&amp;$C60,'Cost by Tier'!$R$5:$R$124,0))</f>
        <v>0</v>
      </c>
      <c r="M60" s="36" t="n">
        <f aca="false">INDEX('Cost by Tier'!$P$5:$P$124,MATCH($F60&amp;"|"&amp;$C60,'Cost by Tier'!$R$5:$R$124,0))</f>
        <v>3000</v>
      </c>
      <c r="N60" s="46" t="n">
        <f aca="false">INDEX('Cost by Tier'!$Q$5:$Q$124,MATCH($F60&amp;"|"&amp;$C60,'Cost by Tier'!$R$5:$R$124,0))</f>
        <v>8928</v>
      </c>
    </row>
    <row r="61" customFormat="false" ht="15" hidden="false" customHeight="false" outlineLevel="0" collapsed="false">
      <c r="A61" s="11" t="s">
        <v>52</v>
      </c>
      <c r="B61" s="11" t="s">
        <v>12</v>
      </c>
      <c r="C61" s="11" t="s">
        <v>13</v>
      </c>
      <c r="D61" s="11" t="s">
        <v>35</v>
      </c>
      <c r="E61" s="11" t="s">
        <v>194</v>
      </c>
      <c r="F61" s="11" t="s">
        <v>195</v>
      </c>
      <c r="G61" s="33" t="str">
        <f aca="false">INDEX('Cost by Tier'!$F$5:$F$124,MATCH($F61&amp;"|"&amp;$C61,'Cost by Tier'!$R$5:$R$124,0))</f>
        <v>N</v>
      </c>
      <c r="H61" s="34" t="n">
        <f aca="false">INDEX('Cost by Tier'!$G$5:$G$124,MATCH($F61&amp;"|"&amp;$C61,'Cost by Tier'!$R$5:$R$124,0))</f>
        <v>863</v>
      </c>
      <c r="I61" s="34" t="n">
        <f aca="false">INDEX('Cost by Tier'!$J$5:$J$124,MATCH($F61&amp;"|"&amp;$C61,'Cost by Tier'!$R$5:$R$124,0))</f>
        <v>300</v>
      </c>
      <c r="J61" s="34" t="n">
        <f aca="false">INDEX('Cost by Tier'!$K$5:$K$124,MATCH($F61&amp;"|"&amp;$C61,'Cost by Tier'!$R$5:$R$124,0))</f>
        <v>563</v>
      </c>
      <c r="K61" s="36" t="n">
        <f aca="false">INDEX('Cost by Tier'!$M$5:$M$124,MATCH($F61&amp;"|"&amp;$C61,'Cost by Tier'!$R$5:$R$124,0))</f>
        <v>6756</v>
      </c>
      <c r="L61" s="36" t="n">
        <f aca="false">INDEX('Cost by Tier'!$O$5:$O$124,MATCH($F61&amp;"|"&amp;$C61,'Cost by Tier'!$R$5:$R$124,0))</f>
        <v>300</v>
      </c>
      <c r="M61" s="36" t="n">
        <f aca="false">INDEX('Cost by Tier'!$P$5:$P$124,MATCH($F61&amp;"|"&amp;$C61,'Cost by Tier'!$R$5:$R$124,0))</f>
        <v>3000</v>
      </c>
      <c r="N61" s="46" t="n">
        <f aca="false">INDEX('Cost by Tier'!$Q$5:$Q$124,MATCH($F61&amp;"|"&amp;$C61,'Cost by Tier'!$R$5:$R$124,0))</f>
        <v>9756</v>
      </c>
    </row>
    <row r="62" customFormat="false" ht="15" hidden="false" customHeight="false" outlineLevel="0" collapsed="false">
      <c r="A62" s="11" t="s">
        <v>52</v>
      </c>
      <c r="B62" s="11" t="s">
        <v>12</v>
      </c>
      <c r="C62" s="11" t="s">
        <v>13</v>
      </c>
      <c r="D62" s="11" t="s">
        <v>38</v>
      </c>
      <c r="E62" s="11" t="s">
        <v>39</v>
      </c>
      <c r="F62" s="11" t="s">
        <v>196</v>
      </c>
      <c r="G62" s="33" t="str">
        <f aca="false">INDEX('Cost by Tier'!$F$5:$F$124,MATCH($F62&amp;"|"&amp;$C62,'Cost by Tier'!$R$5:$R$124,0))</f>
        <v>Y</v>
      </c>
      <c r="H62" s="34" t="n">
        <f aca="false">INDEX('Cost by Tier'!$G$5:$G$124,MATCH($F62&amp;"|"&amp;$C62,'Cost by Tier'!$R$5:$R$124,0))</f>
        <v>439.03</v>
      </c>
      <c r="I62" s="34" t="n">
        <f aca="false">INDEX('Cost by Tier'!$J$5:$J$124,MATCH($F62&amp;"|"&amp;$C62,'Cost by Tier'!$R$5:$R$124,0))</f>
        <v>300</v>
      </c>
      <c r="J62" s="34" t="n">
        <f aca="false">INDEX('Cost by Tier'!$K$5:$K$124,MATCH($F62&amp;"|"&amp;$C62,'Cost by Tier'!$R$5:$R$124,0))</f>
        <v>139.03</v>
      </c>
      <c r="K62" s="36" t="n">
        <f aca="false">INDEX('Cost by Tier'!$M$5:$M$124,MATCH($F62&amp;"|"&amp;$C62,'Cost by Tier'!$R$5:$R$124,0))</f>
        <v>1668.36</v>
      </c>
      <c r="L62" s="36" t="n">
        <f aca="false">INDEX('Cost by Tier'!$O$5:$O$124,MATCH($F62&amp;"|"&amp;$C62,'Cost by Tier'!$R$5:$R$124,0))</f>
        <v>3400</v>
      </c>
      <c r="M62" s="36" t="n">
        <f aca="false">INDEX('Cost by Tier'!$P$5:$P$124,MATCH($F62&amp;"|"&amp;$C62,'Cost by Tier'!$R$5:$R$124,0))</f>
        <v>5000</v>
      </c>
      <c r="N62" s="46" t="n">
        <f aca="false">INDEX('Cost by Tier'!$Q$5:$Q$124,MATCH($F62&amp;"|"&amp;$C62,'Cost by Tier'!$R$5:$R$124,0))</f>
        <v>6668.36</v>
      </c>
    </row>
    <row r="63" customFormat="false" ht="15" hidden="false" customHeight="false" outlineLevel="0" collapsed="false">
      <c r="A63" s="11" t="s">
        <v>52</v>
      </c>
      <c r="B63" s="11" t="s">
        <v>12</v>
      </c>
      <c r="C63" s="11" t="s">
        <v>13</v>
      </c>
      <c r="D63" s="11" t="s">
        <v>38</v>
      </c>
      <c r="E63" s="11" t="s">
        <v>199</v>
      </c>
      <c r="F63" s="11" t="s">
        <v>200</v>
      </c>
      <c r="G63" s="33" t="str">
        <f aca="false">INDEX('Cost by Tier'!$F$5:$F$124,MATCH($F63&amp;"|"&amp;$C63,'Cost by Tier'!$R$5:$R$124,0))</f>
        <v>N</v>
      </c>
      <c r="H63" s="34" t="n">
        <f aca="false">INDEX('Cost by Tier'!$G$5:$G$124,MATCH($F63&amp;"|"&amp;$C63,'Cost by Tier'!$R$5:$R$124,0))</f>
        <v>492.11</v>
      </c>
      <c r="I63" s="34" t="n">
        <f aca="false">INDEX('Cost by Tier'!$J$5:$J$124,MATCH($F63&amp;"|"&amp;$C63,'Cost by Tier'!$R$5:$R$124,0))</f>
        <v>300</v>
      </c>
      <c r="J63" s="34" t="n">
        <f aca="false">INDEX('Cost by Tier'!$K$5:$K$124,MATCH($F63&amp;"|"&amp;$C63,'Cost by Tier'!$R$5:$R$124,0))</f>
        <v>192.11</v>
      </c>
      <c r="K63" s="36" t="n">
        <f aca="false">INDEX('Cost by Tier'!$M$5:$M$124,MATCH($F63&amp;"|"&amp;$C63,'Cost by Tier'!$R$5:$R$124,0))</f>
        <v>2305.32</v>
      </c>
      <c r="L63" s="36" t="n">
        <f aca="false">INDEX('Cost by Tier'!$O$5:$O$124,MATCH($F63&amp;"|"&amp;$C63,'Cost by Tier'!$R$5:$R$124,0))</f>
        <v>2000</v>
      </c>
      <c r="M63" s="36" t="n">
        <f aca="false">INDEX('Cost by Tier'!$P$5:$P$124,MATCH($F63&amp;"|"&amp;$C63,'Cost by Tier'!$R$5:$R$124,0))</f>
        <v>4000</v>
      </c>
      <c r="N63" s="46" t="n">
        <f aca="false">INDEX('Cost by Tier'!$Q$5:$Q$124,MATCH($F63&amp;"|"&amp;$C63,'Cost by Tier'!$R$5:$R$124,0))</f>
        <v>6305.32</v>
      </c>
    </row>
    <row r="64" customFormat="false" ht="15" hidden="false" customHeight="false" outlineLevel="0" collapsed="false">
      <c r="A64" s="11" t="s">
        <v>52</v>
      </c>
      <c r="B64" s="11" t="s">
        <v>12</v>
      </c>
      <c r="C64" s="11" t="s">
        <v>13</v>
      </c>
      <c r="D64" s="11" t="s">
        <v>38</v>
      </c>
      <c r="E64" s="11" t="s">
        <v>203</v>
      </c>
      <c r="F64" s="11" t="s">
        <v>204</v>
      </c>
      <c r="G64" s="33" t="str">
        <f aca="false">INDEX('Cost by Tier'!$F$5:$F$124,MATCH($F64&amp;"|"&amp;$C64,'Cost by Tier'!$R$5:$R$124,0))</f>
        <v>N</v>
      </c>
      <c r="H64" s="34" t="n">
        <f aca="false">INDEX('Cost by Tier'!$G$5:$G$124,MATCH($F64&amp;"|"&amp;$C64,'Cost by Tier'!$R$5:$R$124,0))</f>
        <v>546.33</v>
      </c>
      <c r="I64" s="34" t="n">
        <f aca="false">INDEX('Cost by Tier'!$J$5:$J$124,MATCH($F64&amp;"|"&amp;$C64,'Cost by Tier'!$R$5:$R$124,0))</f>
        <v>300</v>
      </c>
      <c r="J64" s="34" t="n">
        <f aca="false">INDEX('Cost by Tier'!$K$5:$K$124,MATCH($F64&amp;"|"&amp;$C64,'Cost by Tier'!$R$5:$R$124,0))</f>
        <v>246.33</v>
      </c>
      <c r="K64" s="36" t="n">
        <f aca="false">INDEX('Cost by Tier'!$M$5:$M$124,MATCH($F64&amp;"|"&amp;$C64,'Cost by Tier'!$R$5:$R$124,0))</f>
        <v>2955.96</v>
      </c>
      <c r="L64" s="36" t="n">
        <f aca="false">INDEX('Cost by Tier'!$O$5:$O$124,MATCH($F64&amp;"|"&amp;$C64,'Cost by Tier'!$R$5:$R$124,0))</f>
        <v>1000</v>
      </c>
      <c r="M64" s="36" t="n">
        <f aca="false">INDEX('Cost by Tier'!$P$5:$P$124,MATCH($F64&amp;"|"&amp;$C64,'Cost by Tier'!$R$5:$R$124,0))</f>
        <v>2000</v>
      </c>
      <c r="N64" s="46" t="n">
        <f aca="false">INDEX('Cost by Tier'!$Q$5:$Q$124,MATCH($F64&amp;"|"&amp;$C64,'Cost by Tier'!$R$5:$R$124,0))</f>
        <v>4955.96</v>
      </c>
    </row>
    <row r="65" customFormat="false" ht="15" hidden="false" customHeight="false" outlineLevel="0" collapsed="false">
      <c r="A65" s="11" t="s">
        <v>53</v>
      </c>
      <c r="B65" s="11" t="s">
        <v>21</v>
      </c>
      <c r="C65" s="11" t="s">
        <v>22</v>
      </c>
      <c r="D65" s="11" t="s">
        <v>32</v>
      </c>
      <c r="E65" s="11" t="s">
        <v>105</v>
      </c>
      <c r="F65" s="11" t="s">
        <v>106</v>
      </c>
      <c r="G65" s="33" t="str">
        <f aca="false">INDEX('Cost by Tier'!$F$5:$F$124,MATCH($F65&amp;"|"&amp;$C65,'Cost by Tier'!$R$5:$R$124,0))</f>
        <v>Y</v>
      </c>
      <c r="H65" s="34" t="n">
        <f aca="false">INDEX('Cost by Tier'!$G$5:$G$124,MATCH($F65&amp;"|"&amp;$C65,'Cost by Tier'!$R$5:$R$124,0))</f>
        <v>1986.04</v>
      </c>
      <c r="I65" s="34" t="n">
        <f aca="false">INDEX('Cost by Tier'!$J$5:$J$124,MATCH($F65&amp;"|"&amp;$C65,'Cost by Tier'!$R$5:$R$124,0))</f>
        <v>1000</v>
      </c>
      <c r="J65" s="34" t="n">
        <f aca="false">INDEX('Cost by Tier'!$K$5:$K$124,MATCH($F65&amp;"|"&amp;$C65,'Cost by Tier'!$R$5:$R$124,0))</f>
        <v>986.04</v>
      </c>
      <c r="K65" s="36" t="n">
        <f aca="false">INDEX('Cost by Tier'!$M$5:$M$124,MATCH($F65&amp;"|"&amp;$C65,'Cost by Tier'!$R$5:$R$124,0))</f>
        <v>11832.48</v>
      </c>
      <c r="L65" s="36" t="n">
        <f aca="false">INDEX('Cost by Tier'!$O$5:$O$124,MATCH($F65&amp;"|"&amp;$C65,'Cost by Tier'!$R$5:$R$124,0))</f>
        <v>4000</v>
      </c>
      <c r="M65" s="36" t="n">
        <f aca="false">INDEX('Cost by Tier'!$P$5:$P$124,MATCH($F65&amp;"|"&amp;$C65,'Cost by Tier'!$R$5:$R$124,0))</f>
        <v>7000</v>
      </c>
      <c r="N65" s="46" t="n">
        <f aca="false">INDEX('Cost by Tier'!$Q$5:$Q$124,MATCH($F65&amp;"|"&amp;$C65,'Cost by Tier'!$R$5:$R$124,0))</f>
        <v>18832.48</v>
      </c>
    </row>
    <row r="66" customFormat="false" ht="15" hidden="false" customHeight="false" outlineLevel="0" collapsed="false">
      <c r="A66" s="11" t="s">
        <v>53</v>
      </c>
      <c r="B66" s="11" t="s">
        <v>21</v>
      </c>
      <c r="C66" s="11" t="s">
        <v>22</v>
      </c>
      <c r="D66" s="11" t="s">
        <v>32</v>
      </c>
      <c r="E66" s="11" t="s">
        <v>113</v>
      </c>
      <c r="F66" s="11" t="s">
        <v>114</v>
      </c>
      <c r="G66" s="33" t="str">
        <f aca="false">INDEX('Cost by Tier'!$F$5:$F$124,MATCH($F66&amp;"|"&amp;$C66,'Cost by Tier'!$R$5:$R$124,0))</f>
        <v>Y</v>
      </c>
      <c r="H66" s="34" t="n">
        <f aca="false">INDEX('Cost by Tier'!$G$5:$G$124,MATCH($F66&amp;"|"&amp;$C66,'Cost by Tier'!$R$5:$R$124,0))</f>
        <v>1881.29</v>
      </c>
      <c r="I66" s="34" t="n">
        <f aca="false">INDEX('Cost by Tier'!$J$5:$J$124,MATCH($F66&amp;"|"&amp;$C66,'Cost by Tier'!$R$5:$R$124,0))</f>
        <v>1000</v>
      </c>
      <c r="J66" s="34" t="n">
        <f aca="false">INDEX('Cost by Tier'!$K$5:$K$124,MATCH($F66&amp;"|"&amp;$C66,'Cost by Tier'!$R$5:$R$124,0))</f>
        <v>881.29</v>
      </c>
      <c r="K66" s="36" t="n">
        <f aca="false">INDEX('Cost by Tier'!$M$5:$M$124,MATCH($F66&amp;"|"&amp;$C66,'Cost by Tier'!$R$5:$R$124,0))</f>
        <v>10575.48</v>
      </c>
      <c r="L66" s="36" t="n">
        <f aca="false">INDEX('Cost by Tier'!$O$5:$O$124,MATCH($F66&amp;"|"&amp;$C66,'Cost by Tier'!$R$5:$R$124,0))</f>
        <v>5000</v>
      </c>
      <c r="M66" s="36" t="n">
        <f aca="false">INDEX('Cost by Tier'!$P$5:$P$124,MATCH($F66&amp;"|"&amp;$C66,'Cost by Tier'!$R$5:$R$124,0))</f>
        <v>7000</v>
      </c>
      <c r="N66" s="46" t="n">
        <f aca="false">INDEX('Cost by Tier'!$Q$5:$Q$124,MATCH($F66&amp;"|"&amp;$C66,'Cost by Tier'!$R$5:$R$124,0))</f>
        <v>17575.48</v>
      </c>
    </row>
    <row r="67" customFormat="false" ht="15" hidden="false" customHeight="false" outlineLevel="0" collapsed="false">
      <c r="A67" s="11" t="s">
        <v>53</v>
      </c>
      <c r="B67" s="11" t="s">
        <v>21</v>
      </c>
      <c r="C67" s="11" t="s">
        <v>22</v>
      </c>
      <c r="D67" s="11" t="s">
        <v>32</v>
      </c>
      <c r="E67" s="11" t="s">
        <v>115</v>
      </c>
      <c r="F67" s="11" t="s">
        <v>116</v>
      </c>
      <c r="G67" s="33" t="str">
        <f aca="false">INDEX('Cost by Tier'!$F$5:$F$124,MATCH($F67&amp;"|"&amp;$C67,'Cost by Tier'!$R$5:$R$124,0))</f>
        <v>N</v>
      </c>
      <c r="H67" s="34" t="n">
        <f aca="false">INDEX('Cost by Tier'!$G$5:$G$124,MATCH($F67&amp;"|"&amp;$C67,'Cost by Tier'!$R$5:$R$124,0))</f>
        <v>2737.01</v>
      </c>
      <c r="I67" s="34" t="n">
        <f aca="false">INDEX('Cost by Tier'!$J$5:$J$124,MATCH($F67&amp;"|"&amp;$C67,'Cost by Tier'!$R$5:$R$124,0))</f>
        <v>1000</v>
      </c>
      <c r="J67" s="34" t="n">
        <f aca="false">INDEX('Cost by Tier'!$K$5:$K$124,MATCH($F67&amp;"|"&amp;$C67,'Cost by Tier'!$R$5:$R$124,0))</f>
        <v>1737.01</v>
      </c>
      <c r="K67" s="36" t="n">
        <f aca="false">INDEX('Cost by Tier'!$M$5:$M$124,MATCH($F67&amp;"|"&amp;$C67,'Cost by Tier'!$R$5:$R$124,0))</f>
        <v>20844.12</v>
      </c>
      <c r="L67" s="36" t="n">
        <f aca="false">INDEX('Cost by Tier'!$O$5:$O$124,MATCH($F67&amp;"|"&amp;$C67,'Cost by Tier'!$R$5:$R$124,0))</f>
        <v>1000</v>
      </c>
      <c r="M67" s="36" t="n">
        <f aca="false">INDEX('Cost by Tier'!$P$5:$P$124,MATCH($F67&amp;"|"&amp;$C67,'Cost by Tier'!$R$5:$R$124,0))</f>
        <v>7000</v>
      </c>
      <c r="N67" s="46" t="n">
        <f aca="false">INDEX('Cost by Tier'!$Q$5:$Q$124,MATCH($F67&amp;"|"&amp;$C67,'Cost by Tier'!$R$5:$R$124,0))</f>
        <v>27844.12</v>
      </c>
    </row>
    <row r="68" customFormat="false" ht="15" hidden="false" customHeight="false" outlineLevel="0" collapsed="false">
      <c r="A68" s="11" t="s">
        <v>53</v>
      </c>
      <c r="B68" s="11" t="s">
        <v>21</v>
      </c>
      <c r="C68" s="11" t="s">
        <v>22</v>
      </c>
      <c r="D68" s="11" t="s">
        <v>32</v>
      </c>
      <c r="E68" s="11" t="s">
        <v>123</v>
      </c>
      <c r="F68" s="11" t="s">
        <v>124</v>
      </c>
      <c r="G68" s="33" t="str">
        <f aca="false">INDEX('Cost by Tier'!$F$5:$F$124,MATCH($F68&amp;"|"&amp;$C68,'Cost by Tier'!$R$5:$R$124,0))</f>
        <v>N</v>
      </c>
      <c r="H68" s="34" t="n">
        <f aca="false">INDEX('Cost by Tier'!$G$5:$G$124,MATCH($F68&amp;"|"&amp;$C68,'Cost by Tier'!$R$5:$R$124,0))</f>
        <v>2381.46</v>
      </c>
      <c r="I68" s="34" t="n">
        <f aca="false">INDEX('Cost by Tier'!$J$5:$J$124,MATCH($F68&amp;"|"&amp;$C68,'Cost by Tier'!$R$5:$R$124,0))</f>
        <v>1000</v>
      </c>
      <c r="J68" s="34" t="n">
        <f aca="false">INDEX('Cost by Tier'!$K$5:$K$124,MATCH($F68&amp;"|"&amp;$C68,'Cost by Tier'!$R$5:$R$124,0))</f>
        <v>1381.46</v>
      </c>
      <c r="K68" s="36" t="n">
        <f aca="false">INDEX('Cost by Tier'!$M$5:$M$124,MATCH($F68&amp;"|"&amp;$C68,'Cost by Tier'!$R$5:$R$124,0))</f>
        <v>16577.52</v>
      </c>
      <c r="L68" s="36" t="n">
        <f aca="false">INDEX('Cost by Tier'!$O$5:$O$124,MATCH($F68&amp;"|"&amp;$C68,'Cost by Tier'!$R$5:$R$124,0))</f>
        <v>2000</v>
      </c>
      <c r="M68" s="36" t="n">
        <f aca="false">INDEX('Cost by Tier'!$P$5:$P$124,MATCH($F68&amp;"|"&amp;$C68,'Cost by Tier'!$R$5:$R$124,0))</f>
        <v>9000</v>
      </c>
      <c r="N68" s="46" t="n">
        <f aca="false">INDEX('Cost by Tier'!$Q$5:$Q$124,MATCH($F68&amp;"|"&amp;$C68,'Cost by Tier'!$R$5:$R$124,0))</f>
        <v>25577.52</v>
      </c>
    </row>
    <row r="69" customFormat="false" ht="15" hidden="false" customHeight="false" outlineLevel="0" collapsed="false">
      <c r="A69" s="11" t="s">
        <v>53</v>
      </c>
      <c r="B69" s="11" t="s">
        <v>21</v>
      </c>
      <c r="C69" s="11" t="s">
        <v>22</v>
      </c>
      <c r="D69" s="11" t="s">
        <v>32</v>
      </c>
      <c r="E69" s="11" t="s">
        <v>126</v>
      </c>
      <c r="F69" s="11" t="s">
        <v>127</v>
      </c>
      <c r="G69" s="33" t="str">
        <f aca="false">INDEX('Cost by Tier'!$F$5:$F$124,MATCH($F69&amp;"|"&amp;$C69,'Cost by Tier'!$R$5:$R$124,0))</f>
        <v>Y</v>
      </c>
      <c r="H69" s="34" t="n">
        <f aca="false">INDEX('Cost by Tier'!$G$5:$G$124,MATCH($F69&amp;"|"&amp;$C69,'Cost by Tier'!$R$5:$R$124,0))</f>
        <v>1519.36</v>
      </c>
      <c r="I69" s="34" t="n">
        <f aca="false">INDEX('Cost by Tier'!$J$5:$J$124,MATCH($F69&amp;"|"&amp;$C69,'Cost by Tier'!$R$5:$R$124,0))</f>
        <v>1000</v>
      </c>
      <c r="J69" s="34" t="n">
        <f aca="false">INDEX('Cost by Tier'!$K$5:$K$124,MATCH($F69&amp;"|"&amp;$C69,'Cost by Tier'!$R$5:$R$124,0))</f>
        <v>519.36</v>
      </c>
      <c r="K69" s="36" t="n">
        <f aca="false">INDEX('Cost by Tier'!$M$5:$M$124,MATCH($F69&amp;"|"&amp;$C69,'Cost by Tier'!$R$5:$R$124,0))</f>
        <v>6232.32</v>
      </c>
      <c r="L69" s="36" t="n">
        <f aca="false">INDEX('Cost by Tier'!$O$5:$O$124,MATCH($F69&amp;"|"&amp;$C69,'Cost by Tier'!$R$5:$R$124,0))</f>
        <v>7000</v>
      </c>
      <c r="M69" s="36" t="n">
        <f aca="false">INDEX('Cost by Tier'!$P$5:$P$124,MATCH($F69&amp;"|"&amp;$C69,'Cost by Tier'!$R$5:$R$124,0))</f>
        <v>12700</v>
      </c>
      <c r="N69" s="46" t="n">
        <f aca="false">INDEX('Cost by Tier'!$Q$5:$Q$124,MATCH($F69&amp;"|"&amp;$C69,'Cost by Tier'!$R$5:$R$124,0))</f>
        <v>18932.32</v>
      </c>
    </row>
    <row r="70" customFormat="false" ht="15" hidden="false" customHeight="false" outlineLevel="0" collapsed="false">
      <c r="A70" s="11" t="s">
        <v>53</v>
      </c>
      <c r="B70" s="11" t="s">
        <v>21</v>
      </c>
      <c r="C70" s="11" t="s">
        <v>22</v>
      </c>
      <c r="D70" s="11" t="s">
        <v>32</v>
      </c>
      <c r="E70" s="11" t="s">
        <v>131</v>
      </c>
      <c r="F70" s="11" t="s">
        <v>132</v>
      </c>
      <c r="G70" s="33" t="str">
        <f aca="false">INDEX('Cost by Tier'!$F$5:$F$124,MATCH($F70&amp;"|"&amp;$C70,'Cost by Tier'!$R$5:$R$124,0))</f>
        <v>N</v>
      </c>
      <c r="H70" s="34" t="n">
        <f aca="false">INDEX('Cost by Tier'!$G$5:$G$124,MATCH($F70&amp;"|"&amp;$C70,'Cost by Tier'!$R$5:$R$124,0))</f>
        <v>2558.21</v>
      </c>
      <c r="I70" s="34" t="n">
        <f aca="false">INDEX('Cost by Tier'!$J$5:$J$124,MATCH($F70&amp;"|"&amp;$C70,'Cost by Tier'!$R$5:$R$124,0))</f>
        <v>1000</v>
      </c>
      <c r="J70" s="34" t="n">
        <f aca="false">INDEX('Cost by Tier'!$K$5:$K$124,MATCH($F70&amp;"|"&amp;$C70,'Cost by Tier'!$R$5:$R$124,0))</f>
        <v>1558.21</v>
      </c>
      <c r="K70" s="36" t="n">
        <f aca="false">INDEX('Cost by Tier'!$M$5:$M$124,MATCH($F70&amp;"|"&amp;$C70,'Cost by Tier'!$R$5:$R$124,0))</f>
        <v>18698.52</v>
      </c>
      <c r="L70" s="36" t="n">
        <f aca="false">INDEX('Cost by Tier'!$O$5:$O$124,MATCH($F70&amp;"|"&amp;$C70,'Cost by Tier'!$R$5:$R$124,0))</f>
        <v>1000</v>
      </c>
      <c r="M70" s="36" t="n">
        <f aca="false">INDEX('Cost by Tier'!$P$5:$P$124,MATCH($F70&amp;"|"&amp;$C70,'Cost by Tier'!$R$5:$R$124,0))</f>
        <v>7000</v>
      </c>
      <c r="N70" s="46" t="n">
        <f aca="false">INDEX('Cost by Tier'!$Q$5:$Q$124,MATCH($F70&amp;"|"&amp;$C70,'Cost by Tier'!$R$5:$R$124,0))</f>
        <v>25698.52</v>
      </c>
    </row>
    <row r="71" customFormat="false" ht="15" hidden="false" customHeight="false" outlineLevel="0" collapsed="false">
      <c r="A71" s="11" t="s">
        <v>53</v>
      </c>
      <c r="B71" s="11" t="s">
        <v>21</v>
      </c>
      <c r="C71" s="11" t="s">
        <v>22</v>
      </c>
      <c r="D71" s="11" t="s">
        <v>32</v>
      </c>
      <c r="E71" s="11" t="s">
        <v>133</v>
      </c>
      <c r="F71" s="11" t="s">
        <v>134</v>
      </c>
      <c r="G71" s="33" t="str">
        <f aca="false">INDEX('Cost by Tier'!$F$5:$F$124,MATCH($F71&amp;"|"&amp;$C71,'Cost by Tier'!$R$5:$R$124,0))</f>
        <v>N</v>
      </c>
      <c r="H71" s="34" t="n">
        <f aca="false">INDEX('Cost by Tier'!$G$5:$G$124,MATCH($F71&amp;"|"&amp;$C71,'Cost by Tier'!$R$5:$R$124,0))</f>
        <v>2322.36</v>
      </c>
      <c r="I71" s="34" t="n">
        <f aca="false">INDEX('Cost by Tier'!$J$5:$J$124,MATCH($F71&amp;"|"&amp;$C71,'Cost by Tier'!$R$5:$R$124,0))</f>
        <v>1000</v>
      </c>
      <c r="J71" s="34" t="n">
        <f aca="false">INDEX('Cost by Tier'!$K$5:$K$124,MATCH($F71&amp;"|"&amp;$C71,'Cost by Tier'!$R$5:$R$124,0))</f>
        <v>1322.36</v>
      </c>
      <c r="K71" s="36" t="n">
        <f aca="false">INDEX('Cost by Tier'!$M$5:$M$124,MATCH($F71&amp;"|"&amp;$C71,'Cost by Tier'!$R$5:$R$124,0))</f>
        <v>15868.32</v>
      </c>
      <c r="L71" s="36" t="n">
        <f aca="false">INDEX('Cost by Tier'!$O$5:$O$124,MATCH($F71&amp;"|"&amp;$C71,'Cost by Tier'!$R$5:$R$124,0))</f>
        <v>2000</v>
      </c>
      <c r="M71" s="36" t="n">
        <f aca="false">INDEX('Cost by Tier'!$P$5:$P$124,MATCH($F71&amp;"|"&amp;$C71,'Cost by Tier'!$R$5:$R$124,0))</f>
        <v>9000</v>
      </c>
      <c r="N71" s="46" t="n">
        <f aca="false">INDEX('Cost by Tier'!$Q$5:$Q$124,MATCH($F71&amp;"|"&amp;$C71,'Cost by Tier'!$R$5:$R$124,0))</f>
        <v>24868.32</v>
      </c>
    </row>
    <row r="72" customFormat="false" ht="15" hidden="false" customHeight="false" outlineLevel="0" collapsed="false">
      <c r="A72" s="11" t="s">
        <v>53</v>
      </c>
      <c r="B72" s="11" t="s">
        <v>21</v>
      </c>
      <c r="C72" s="11" t="s">
        <v>22</v>
      </c>
      <c r="D72" s="11" t="s">
        <v>32</v>
      </c>
      <c r="E72" s="11" t="s">
        <v>135</v>
      </c>
      <c r="F72" s="11" t="s">
        <v>136</v>
      </c>
      <c r="G72" s="33" t="str">
        <f aca="false">INDEX('Cost by Tier'!$F$5:$F$124,MATCH($F72&amp;"|"&amp;$C72,'Cost by Tier'!$R$5:$R$124,0))</f>
        <v>N</v>
      </c>
      <c r="H72" s="34" t="n">
        <f aca="false">INDEX('Cost by Tier'!$G$5:$G$124,MATCH($F72&amp;"|"&amp;$C72,'Cost by Tier'!$R$5:$R$124,0))</f>
        <v>2309.12</v>
      </c>
      <c r="I72" s="34" t="n">
        <f aca="false">INDEX('Cost by Tier'!$J$5:$J$124,MATCH($F72&amp;"|"&amp;$C72,'Cost by Tier'!$R$5:$R$124,0))</f>
        <v>1000</v>
      </c>
      <c r="J72" s="34" t="n">
        <f aca="false">INDEX('Cost by Tier'!$K$5:$K$124,MATCH($F72&amp;"|"&amp;$C72,'Cost by Tier'!$R$5:$R$124,0))</f>
        <v>1309.12</v>
      </c>
      <c r="K72" s="36" t="n">
        <f aca="false">INDEX('Cost by Tier'!$M$5:$M$124,MATCH($F72&amp;"|"&amp;$C72,'Cost by Tier'!$R$5:$R$124,0))</f>
        <v>15709.44</v>
      </c>
      <c r="L72" s="36" t="n">
        <f aca="false">INDEX('Cost by Tier'!$O$5:$O$124,MATCH($F72&amp;"|"&amp;$C72,'Cost by Tier'!$R$5:$R$124,0))</f>
        <v>3000</v>
      </c>
      <c r="M72" s="36" t="n">
        <f aca="false">INDEX('Cost by Tier'!$P$5:$P$124,MATCH($F72&amp;"|"&amp;$C72,'Cost by Tier'!$R$5:$R$124,0))</f>
        <v>10000</v>
      </c>
      <c r="N72" s="46" t="n">
        <f aca="false">INDEX('Cost by Tier'!$Q$5:$Q$124,MATCH($F72&amp;"|"&amp;$C72,'Cost by Tier'!$R$5:$R$124,0))</f>
        <v>25709.44</v>
      </c>
    </row>
    <row r="73" customFormat="false" ht="15" hidden="false" customHeight="false" outlineLevel="0" collapsed="false">
      <c r="A73" s="11" t="s">
        <v>53</v>
      </c>
      <c r="B73" s="11" t="s">
        <v>21</v>
      </c>
      <c r="C73" s="11" t="s">
        <v>22</v>
      </c>
      <c r="D73" s="11" t="s">
        <v>32</v>
      </c>
      <c r="E73" s="11" t="s">
        <v>139</v>
      </c>
      <c r="F73" s="11" t="s">
        <v>140</v>
      </c>
      <c r="G73" s="33" t="str">
        <f aca="false">INDEX('Cost by Tier'!$F$5:$F$124,MATCH($F73&amp;"|"&amp;$C73,'Cost by Tier'!$R$5:$R$124,0))</f>
        <v>Y</v>
      </c>
      <c r="H73" s="34" t="n">
        <f aca="false">INDEX('Cost by Tier'!$G$5:$G$124,MATCH($F73&amp;"|"&amp;$C73,'Cost by Tier'!$R$5:$R$124,0))</f>
        <v>1357.49</v>
      </c>
      <c r="I73" s="34" t="n">
        <f aca="false">INDEX('Cost by Tier'!$J$5:$J$124,MATCH($F73&amp;"|"&amp;$C73,'Cost by Tier'!$R$5:$R$124,0))</f>
        <v>1000</v>
      </c>
      <c r="J73" s="34" t="n">
        <f aca="false">INDEX('Cost by Tier'!$K$5:$K$124,MATCH($F73&amp;"|"&amp;$C73,'Cost by Tier'!$R$5:$R$124,0))</f>
        <v>357.49</v>
      </c>
      <c r="K73" s="36" t="n">
        <f aca="false">INDEX('Cost by Tier'!$M$5:$M$124,MATCH($F73&amp;"|"&amp;$C73,'Cost by Tier'!$R$5:$R$124,0))</f>
        <v>4289.88</v>
      </c>
      <c r="L73" s="36" t="n">
        <f aca="false">INDEX('Cost by Tier'!$O$5:$O$124,MATCH($F73&amp;"|"&amp;$C73,'Cost by Tier'!$R$5:$R$124,0))</f>
        <v>12000</v>
      </c>
      <c r="M73" s="36" t="n">
        <f aca="false">INDEX('Cost by Tier'!$P$5:$P$124,MATCH($F73&amp;"|"&amp;$C73,'Cost by Tier'!$R$5:$R$124,0))</f>
        <v>13000</v>
      </c>
      <c r="N73" s="46" t="n">
        <f aca="false">INDEX('Cost by Tier'!$Q$5:$Q$124,MATCH($F73&amp;"|"&amp;$C73,'Cost by Tier'!$R$5:$R$124,0))</f>
        <v>17289.88</v>
      </c>
    </row>
    <row r="74" customFormat="false" ht="15" hidden="false" customHeight="false" outlineLevel="0" collapsed="false">
      <c r="A74" s="11" t="s">
        <v>53</v>
      </c>
      <c r="B74" s="11" t="s">
        <v>21</v>
      </c>
      <c r="C74" s="11" t="s">
        <v>22</v>
      </c>
      <c r="D74" s="11" t="s">
        <v>32</v>
      </c>
      <c r="E74" s="11" t="s">
        <v>141</v>
      </c>
      <c r="F74" s="11" t="s">
        <v>142</v>
      </c>
      <c r="G74" s="33" t="str">
        <f aca="false">INDEX('Cost by Tier'!$F$5:$F$124,MATCH($F74&amp;"|"&amp;$C74,'Cost by Tier'!$R$5:$R$124,0))</f>
        <v>N</v>
      </c>
      <c r="H74" s="34" t="n">
        <f aca="false">INDEX('Cost by Tier'!$G$5:$G$124,MATCH($F74&amp;"|"&amp;$C74,'Cost by Tier'!$R$5:$R$124,0))</f>
        <v>1949.92</v>
      </c>
      <c r="I74" s="34" t="n">
        <f aca="false">INDEX('Cost by Tier'!$J$5:$J$124,MATCH($F74&amp;"|"&amp;$C74,'Cost by Tier'!$R$5:$R$124,0))</f>
        <v>1000</v>
      </c>
      <c r="J74" s="34" t="n">
        <f aca="false">INDEX('Cost by Tier'!$K$5:$K$124,MATCH($F74&amp;"|"&amp;$C74,'Cost by Tier'!$R$5:$R$124,0))</f>
        <v>949.92</v>
      </c>
      <c r="K74" s="36" t="n">
        <f aca="false">INDEX('Cost by Tier'!$M$5:$M$124,MATCH($F74&amp;"|"&amp;$C74,'Cost by Tier'!$R$5:$R$124,0))</f>
        <v>11399.04</v>
      </c>
      <c r="L74" s="36" t="n">
        <f aca="false">INDEX('Cost by Tier'!$O$5:$O$124,MATCH($F74&amp;"|"&amp;$C74,'Cost by Tier'!$R$5:$R$124,0))</f>
        <v>6000</v>
      </c>
      <c r="M74" s="36" t="n">
        <f aca="false">INDEX('Cost by Tier'!$P$5:$P$124,MATCH($F74&amp;"|"&amp;$C74,'Cost by Tier'!$R$5:$R$124,0))</f>
        <v>14000</v>
      </c>
      <c r="N74" s="46" t="n">
        <f aca="false">INDEX('Cost by Tier'!$Q$5:$Q$124,MATCH($F74&amp;"|"&amp;$C74,'Cost by Tier'!$R$5:$R$124,0))</f>
        <v>25399.04</v>
      </c>
    </row>
    <row r="75" customFormat="false" ht="15" hidden="false" customHeight="false" outlineLevel="0" collapsed="false">
      <c r="A75" s="11" t="s">
        <v>53</v>
      </c>
      <c r="B75" s="11" t="s">
        <v>21</v>
      </c>
      <c r="C75" s="11" t="s">
        <v>22</v>
      </c>
      <c r="D75" s="11" t="s">
        <v>32</v>
      </c>
      <c r="E75" s="11" t="s">
        <v>33</v>
      </c>
      <c r="F75" s="11" t="s">
        <v>144</v>
      </c>
      <c r="G75" s="33" t="str">
        <f aca="false">INDEX('Cost by Tier'!$F$5:$F$124,MATCH($F75&amp;"|"&amp;$C75,'Cost by Tier'!$R$5:$R$124,0))</f>
        <v>N</v>
      </c>
      <c r="H75" s="34" t="n">
        <f aca="false">INDEX('Cost by Tier'!$G$5:$G$124,MATCH($F75&amp;"|"&amp;$C75,'Cost by Tier'!$R$5:$R$124,0))</f>
        <v>1159.51</v>
      </c>
      <c r="I75" s="34" t="n">
        <f aca="false">INDEX('Cost by Tier'!$J$5:$J$124,MATCH($F75&amp;"|"&amp;$C75,'Cost by Tier'!$R$5:$R$124,0))</f>
        <v>1000</v>
      </c>
      <c r="J75" s="34" t="n">
        <f aca="false">INDEX('Cost by Tier'!$K$5:$K$124,MATCH($F75&amp;"|"&amp;$C75,'Cost by Tier'!$R$5:$R$124,0))</f>
        <v>159.51</v>
      </c>
      <c r="K75" s="36" t="n">
        <f aca="false">INDEX('Cost by Tier'!$M$5:$M$124,MATCH($F75&amp;"|"&amp;$C75,'Cost by Tier'!$R$5:$R$124,0))</f>
        <v>1914.12</v>
      </c>
      <c r="L75" s="36" t="n">
        <f aca="false">INDEX('Cost by Tier'!$O$5:$O$124,MATCH($F75&amp;"|"&amp;$C75,'Cost by Tier'!$R$5:$R$124,0))</f>
        <v>16000</v>
      </c>
      <c r="M75" s="36" t="n">
        <f aca="false">INDEX('Cost by Tier'!$P$5:$P$124,MATCH($F75&amp;"|"&amp;$C75,'Cost by Tier'!$R$5:$R$124,0))</f>
        <v>20000</v>
      </c>
      <c r="N75" s="46" t="n">
        <f aca="false">INDEX('Cost by Tier'!$Q$5:$Q$124,MATCH($F75&amp;"|"&amp;$C75,'Cost by Tier'!$R$5:$R$124,0))</f>
        <v>21914.12</v>
      </c>
    </row>
    <row r="76" customFormat="false" ht="15" hidden="false" customHeight="false" outlineLevel="0" collapsed="false">
      <c r="A76" s="11" t="s">
        <v>53</v>
      </c>
      <c r="B76" s="11" t="s">
        <v>21</v>
      </c>
      <c r="C76" s="11" t="s">
        <v>22</v>
      </c>
      <c r="D76" s="11" t="s">
        <v>35</v>
      </c>
      <c r="E76" s="11" t="s">
        <v>36</v>
      </c>
      <c r="F76" s="11" t="s">
        <v>148</v>
      </c>
      <c r="G76" s="33" t="str">
        <f aca="false">INDEX('Cost by Tier'!$F$5:$F$124,MATCH($F76&amp;"|"&amp;$C76,'Cost by Tier'!$R$5:$R$124,0))</f>
        <v>N</v>
      </c>
      <c r="H76" s="34" t="n">
        <f aca="false">INDEX('Cost by Tier'!$G$5:$G$124,MATCH($F76&amp;"|"&amp;$C76,'Cost by Tier'!$R$5:$R$124,0))</f>
        <v>1166</v>
      </c>
      <c r="I76" s="34" t="n">
        <f aca="false">INDEX('Cost by Tier'!$J$5:$J$124,MATCH($F76&amp;"|"&amp;$C76,'Cost by Tier'!$R$5:$R$124,0))</f>
        <v>1000</v>
      </c>
      <c r="J76" s="34" t="n">
        <f aca="false">INDEX('Cost by Tier'!$K$5:$K$124,MATCH($F76&amp;"|"&amp;$C76,'Cost by Tier'!$R$5:$R$124,0))</f>
        <v>166</v>
      </c>
      <c r="K76" s="36" t="n">
        <f aca="false">INDEX('Cost by Tier'!$M$5:$M$124,MATCH($F76&amp;"|"&amp;$C76,'Cost by Tier'!$R$5:$R$124,0))</f>
        <v>1992</v>
      </c>
      <c r="L76" s="36" t="n">
        <f aca="false">INDEX('Cost by Tier'!$O$5:$O$124,MATCH($F76&amp;"|"&amp;$C76,'Cost by Tier'!$R$5:$R$124,0))</f>
        <v>13000</v>
      </c>
      <c r="M76" s="36" t="n">
        <f aca="false">INDEX('Cost by Tier'!$P$5:$P$124,MATCH($F76&amp;"|"&amp;$C76,'Cost by Tier'!$R$5:$R$124,0))</f>
        <v>15000</v>
      </c>
      <c r="N76" s="46" t="n">
        <f aca="false">INDEX('Cost by Tier'!$Q$5:$Q$124,MATCH($F76&amp;"|"&amp;$C76,'Cost by Tier'!$R$5:$R$124,0))</f>
        <v>16992</v>
      </c>
    </row>
    <row r="77" customFormat="false" ht="15" hidden="false" customHeight="false" outlineLevel="0" collapsed="false">
      <c r="A77" s="11" t="s">
        <v>53</v>
      </c>
      <c r="B77" s="11" t="s">
        <v>21</v>
      </c>
      <c r="C77" s="11" t="s">
        <v>22</v>
      </c>
      <c r="D77" s="11" t="s">
        <v>35</v>
      </c>
      <c r="E77" s="11" t="s">
        <v>153</v>
      </c>
      <c r="F77" s="11" t="s">
        <v>154</v>
      </c>
      <c r="G77" s="33" t="str">
        <f aca="false">INDEX('Cost by Tier'!$F$5:$F$124,MATCH($F77&amp;"|"&amp;$C77,'Cost by Tier'!$R$5:$R$124,0))</f>
        <v>N</v>
      </c>
      <c r="H77" s="34" t="n">
        <f aca="false">INDEX('Cost by Tier'!$G$5:$G$124,MATCH($F77&amp;"|"&amp;$C77,'Cost by Tier'!$R$5:$R$124,0))</f>
        <v>1212</v>
      </c>
      <c r="I77" s="34" t="n">
        <f aca="false">INDEX('Cost by Tier'!$J$5:$J$124,MATCH($F77&amp;"|"&amp;$C77,'Cost by Tier'!$R$5:$R$124,0))</f>
        <v>1000</v>
      </c>
      <c r="J77" s="34" t="n">
        <f aca="false">INDEX('Cost by Tier'!$K$5:$K$124,MATCH($F77&amp;"|"&amp;$C77,'Cost by Tier'!$R$5:$R$124,0))</f>
        <v>212</v>
      </c>
      <c r="K77" s="36" t="n">
        <f aca="false">INDEX('Cost by Tier'!$M$5:$M$124,MATCH($F77&amp;"|"&amp;$C77,'Cost by Tier'!$R$5:$R$124,0))</f>
        <v>2544</v>
      </c>
      <c r="L77" s="36" t="n">
        <f aca="false">INDEX('Cost by Tier'!$O$5:$O$124,MATCH($F77&amp;"|"&amp;$C77,'Cost by Tier'!$R$5:$R$124,0))</f>
        <v>14300</v>
      </c>
      <c r="M77" s="36" t="n">
        <f aca="false">INDEX('Cost by Tier'!$P$5:$P$124,MATCH($F77&amp;"|"&amp;$C77,'Cost by Tier'!$R$5:$R$124,0))</f>
        <v>15200</v>
      </c>
      <c r="N77" s="46" t="n">
        <f aca="false">INDEX('Cost by Tier'!$Q$5:$Q$124,MATCH($F77&amp;"|"&amp;$C77,'Cost by Tier'!$R$5:$R$124,0))</f>
        <v>17744</v>
      </c>
    </row>
    <row r="78" customFormat="false" ht="15" hidden="false" customHeight="false" outlineLevel="0" collapsed="false">
      <c r="A78" s="11" t="s">
        <v>53</v>
      </c>
      <c r="B78" s="11" t="s">
        <v>21</v>
      </c>
      <c r="C78" s="11" t="s">
        <v>22</v>
      </c>
      <c r="D78" s="11" t="s">
        <v>35</v>
      </c>
      <c r="E78" s="11" t="s">
        <v>159</v>
      </c>
      <c r="F78" s="11" t="s">
        <v>160</v>
      </c>
      <c r="G78" s="33" t="str">
        <f aca="false">INDEX('Cost by Tier'!$F$5:$F$124,MATCH($F78&amp;"|"&amp;$C78,'Cost by Tier'!$R$5:$R$124,0))</f>
        <v>Y</v>
      </c>
      <c r="H78" s="34" t="n">
        <f aca="false">INDEX('Cost by Tier'!$G$5:$G$124,MATCH($F78&amp;"|"&amp;$C78,'Cost by Tier'!$R$5:$R$124,0))</f>
        <v>1242</v>
      </c>
      <c r="I78" s="34" t="n">
        <f aca="false">INDEX('Cost by Tier'!$J$5:$J$124,MATCH($F78&amp;"|"&amp;$C78,'Cost by Tier'!$R$5:$R$124,0))</f>
        <v>1000</v>
      </c>
      <c r="J78" s="34" t="n">
        <f aca="false">INDEX('Cost by Tier'!$K$5:$K$124,MATCH($F78&amp;"|"&amp;$C78,'Cost by Tier'!$R$5:$R$124,0))</f>
        <v>242</v>
      </c>
      <c r="K78" s="36" t="n">
        <f aca="false">INDEX('Cost by Tier'!$M$5:$M$124,MATCH($F78&amp;"|"&amp;$C78,'Cost by Tier'!$R$5:$R$124,0))</f>
        <v>2904</v>
      </c>
      <c r="L78" s="36" t="n">
        <f aca="false">INDEX('Cost by Tier'!$O$5:$O$124,MATCH($F78&amp;"|"&amp;$C78,'Cost by Tier'!$R$5:$R$124,0))</f>
        <v>12700</v>
      </c>
      <c r="M78" s="36" t="n">
        <f aca="false">INDEX('Cost by Tier'!$P$5:$P$124,MATCH($F78&amp;"|"&amp;$C78,'Cost by Tier'!$R$5:$R$124,0))</f>
        <v>12700</v>
      </c>
      <c r="N78" s="46" t="n">
        <f aca="false">INDEX('Cost by Tier'!$Q$5:$Q$124,MATCH($F78&amp;"|"&amp;$C78,'Cost by Tier'!$R$5:$R$124,0))</f>
        <v>15604</v>
      </c>
    </row>
    <row r="79" customFormat="false" ht="15" hidden="false" customHeight="false" outlineLevel="0" collapsed="false">
      <c r="A79" s="11" t="s">
        <v>53</v>
      </c>
      <c r="B79" s="11" t="s">
        <v>21</v>
      </c>
      <c r="C79" s="11" t="s">
        <v>22</v>
      </c>
      <c r="D79" s="11" t="s">
        <v>35</v>
      </c>
      <c r="E79" s="11" t="s">
        <v>162</v>
      </c>
      <c r="F79" s="11" t="s">
        <v>163</v>
      </c>
      <c r="G79" s="33" t="str">
        <f aca="false">INDEX('Cost by Tier'!$F$5:$F$124,MATCH($F79&amp;"|"&amp;$C79,'Cost by Tier'!$R$5:$R$124,0))</f>
        <v>Y</v>
      </c>
      <c r="H79" s="34" t="n">
        <f aca="false">INDEX('Cost by Tier'!$G$5:$G$124,MATCH($F79&amp;"|"&amp;$C79,'Cost by Tier'!$R$5:$R$124,0))</f>
        <v>1495</v>
      </c>
      <c r="I79" s="34" t="n">
        <f aca="false">INDEX('Cost by Tier'!$J$5:$J$124,MATCH($F79&amp;"|"&amp;$C79,'Cost by Tier'!$R$5:$R$124,0))</f>
        <v>1000</v>
      </c>
      <c r="J79" s="34" t="n">
        <f aca="false">INDEX('Cost by Tier'!$K$5:$K$124,MATCH($F79&amp;"|"&amp;$C79,'Cost by Tier'!$R$5:$R$124,0))</f>
        <v>495</v>
      </c>
      <c r="K79" s="36" t="n">
        <f aca="false">INDEX('Cost by Tier'!$M$5:$M$124,MATCH($F79&amp;"|"&amp;$C79,'Cost by Tier'!$R$5:$R$124,0))</f>
        <v>5940</v>
      </c>
      <c r="L79" s="36" t="n">
        <f aca="false">INDEX('Cost by Tier'!$O$5:$O$124,MATCH($F79&amp;"|"&amp;$C79,'Cost by Tier'!$R$5:$R$124,0))</f>
        <v>8000</v>
      </c>
      <c r="M79" s="36" t="n">
        <f aca="false">INDEX('Cost by Tier'!$P$5:$P$124,MATCH($F79&amp;"|"&amp;$C79,'Cost by Tier'!$R$5:$R$124,0))</f>
        <v>13700</v>
      </c>
      <c r="N79" s="46" t="n">
        <f aca="false">INDEX('Cost by Tier'!$Q$5:$Q$124,MATCH($F79&amp;"|"&amp;$C79,'Cost by Tier'!$R$5:$R$124,0))</f>
        <v>19640</v>
      </c>
    </row>
    <row r="80" customFormat="false" ht="15" hidden="false" customHeight="false" outlineLevel="0" collapsed="false">
      <c r="A80" s="11" t="s">
        <v>53</v>
      </c>
      <c r="B80" s="11" t="s">
        <v>21</v>
      </c>
      <c r="C80" s="11" t="s">
        <v>22</v>
      </c>
      <c r="D80" s="11" t="s">
        <v>35</v>
      </c>
      <c r="E80" s="11" t="s">
        <v>164</v>
      </c>
      <c r="F80" s="11" t="s">
        <v>165</v>
      </c>
      <c r="G80" s="33" t="str">
        <f aca="false">INDEX('Cost by Tier'!$F$5:$F$124,MATCH($F80&amp;"|"&amp;$C80,'Cost by Tier'!$R$5:$R$124,0))</f>
        <v>N</v>
      </c>
      <c r="H80" s="34" t="n">
        <f aca="false">INDEX('Cost by Tier'!$G$5:$G$124,MATCH($F80&amp;"|"&amp;$C80,'Cost by Tier'!$R$5:$R$124,0))</f>
        <v>1576</v>
      </c>
      <c r="I80" s="34" t="n">
        <f aca="false">INDEX('Cost by Tier'!$J$5:$J$124,MATCH($F80&amp;"|"&amp;$C80,'Cost by Tier'!$R$5:$R$124,0))</f>
        <v>1000</v>
      </c>
      <c r="J80" s="34" t="n">
        <f aca="false">INDEX('Cost by Tier'!$K$5:$K$124,MATCH($F80&amp;"|"&amp;$C80,'Cost by Tier'!$R$5:$R$124,0))</f>
        <v>576</v>
      </c>
      <c r="K80" s="36" t="n">
        <f aca="false">INDEX('Cost by Tier'!$M$5:$M$124,MATCH($F80&amp;"|"&amp;$C80,'Cost by Tier'!$R$5:$R$124,0))</f>
        <v>6912</v>
      </c>
      <c r="L80" s="36" t="n">
        <f aca="false">INDEX('Cost by Tier'!$O$5:$O$124,MATCH($F80&amp;"|"&amp;$C80,'Cost by Tier'!$R$5:$R$124,0))</f>
        <v>5000</v>
      </c>
      <c r="M80" s="36" t="n">
        <f aca="false">INDEX('Cost by Tier'!$P$5:$P$124,MATCH($F80&amp;"|"&amp;$C80,'Cost by Tier'!$R$5:$R$124,0))</f>
        <v>15000</v>
      </c>
      <c r="N80" s="46" t="n">
        <f aca="false">INDEX('Cost by Tier'!$Q$5:$Q$124,MATCH($F80&amp;"|"&amp;$C80,'Cost by Tier'!$R$5:$R$124,0))</f>
        <v>21912</v>
      </c>
    </row>
    <row r="81" customFormat="false" ht="15" hidden="false" customHeight="false" outlineLevel="0" collapsed="false">
      <c r="A81" s="11" t="s">
        <v>53</v>
      </c>
      <c r="B81" s="11" t="s">
        <v>21</v>
      </c>
      <c r="C81" s="11" t="s">
        <v>22</v>
      </c>
      <c r="D81" s="11" t="s">
        <v>35</v>
      </c>
      <c r="E81" s="11" t="s">
        <v>166</v>
      </c>
      <c r="F81" s="11" t="s">
        <v>167</v>
      </c>
      <c r="G81" s="33" t="str">
        <f aca="false">INDEX('Cost by Tier'!$F$5:$F$124,MATCH($F81&amp;"|"&amp;$C81,'Cost by Tier'!$R$5:$R$124,0))</f>
        <v>N</v>
      </c>
      <c r="H81" s="34" t="n">
        <f aca="false">INDEX('Cost by Tier'!$G$5:$G$124,MATCH($F81&amp;"|"&amp;$C81,'Cost by Tier'!$R$5:$R$124,0))</f>
        <v>1603</v>
      </c>
      <c r="I81" s="34" t="n">
        <f aca="false">INDEX('Cost by Tier'!$J$5:$J$124,MATCH($F81&amp;"|"&amp;$C81,'Cost by Tier'!$R$5:$R$124,0))</f>
        <v>1000</v>
      </c>
      <c r="J81" s="34" t="n">
        <f aca="false">INDEX('Cost by Tier'!$K$5:$K$124,MATCH($F81&amp;"|"&amp;$C81,'Cost by Tier'!$R$5:$R$124,0))</f>
        <v>603</v>
      </c>
      <c r="K81" s="36" t="n">
        <f aca="false">INDEX('Cost by Tier'!$M$5:$M$124,MATCH($F81&amp;"|"&amp;$C81,'Cost by Tier'!$R$5:$R$124,0))</f>
        <v>7236</v>
      </c>
      <c r="L81" s="36" t="n">
        <f aca="false">INDEX('Cost by Tier'!$O$5:$O$124,MATCH($F81&amp;"|"&amp;$C81,'Cost by Tier'!$R$5:$R$124,0))</f>
        <v>10000</v>
      </c>
      <c r="M81" s="36" t="n">
        <f aca="false">INDEX('Cost by Tier'!$P$5:$P$124,MATCH($F81&amp;"|"&amp;$C81,'Cost by Tier'!$R$5:$R$124,0))</f>
        <v>15200</v>
      </c>
      <c r="N81" s="46" t="n">
        <f aca="false">INDEX('Cost by Tier'!$Q$5:$Q$124,MATCH($F81&amp;"|"&amp;$C81,'Cost by Tier'!$R$5:$R$124,0))</f>
        <v>22436</v>
      </c>
    </row>
    <row r="82" customFormat="false" ht="15" hidden="false" customHeight="false" outlineLevel="0" collapsed="false">
      <c r="A82" s="11" t="s">
        <v>53</v>
      </c>
      <c r="B82" s="11" t="s">
        <v>21</v>
      </c>
      <c r="C82" s="11" t="s">
        <v>22</v>
      </c>
      <c r="D82" s="11" t="s">
        <v>35</v>
      </c>
      <c r="E82" s="11" t="s">
        <v>170</v>
      </c>
      <c r="F82" s="11" t="s">
        <v>171</v>
      </c>
      <c r="G82" s="33" t="str">
        <f aca="false">INDEX('Cost by Tier'!$F$5:$F$124,MATCH($F82&amp;"|"&amp;$C82,'Cost by Tier'!$R$5:$R$124,0))</f>
        <v>N</v>
      </c>
      <c r="H82" s="34" t="n">
        <f aca="false">INDEX('Cost by Tier'!$G$5:$G$124,MATCH($F82&amp;"|"&amp;$C82,'Cost by Tier'!$R$5:$R$124,0))</f>
        <v>1760</v>
      </c>
      <c r="I82" s="34" t="n">
        <f aca="false">INDEX('Cost by Tier'!$J$5:$J$124,MATCH($F82&amp;"|"&amp;$C82,'Cost by Tier'!$R$5:$R$124,0))</f>
        <v>1000</v>
      </c>
      <c r="J82" s="34" t="n">
        <f aca="false">INDEX('Cost by Tier'!$K$5:$K$124,MATCH($F82&amp;"|"&amp;$C82,'Cost by Tier'!$R$5:$R$124,0))</f>
        <v>760</v>
      </c>
      <c r="K82" s="36" t="n">
        <f aca="false">INDEX('Cost by Tier'!$M$5:$M$124,MATCH($F82&amp;"|"&amp;$C82,'Cost by Tier'!$R$5:$R$124,0))</f>
        <v>9120</v>
      </c>
      <c r="L82" s="36" t="n">
        <f aca="false">INDEX('Cost by Tier'!$O$5:$O$124,MATCH($F82&amp;"|"&amp;$C82,'Cost by Tier'!$R$5:$R$124,0))</f>
        <v>4000</v>
      </c>
      <c r="M82" s="36" t="n">
        <f aca="false">INDEX('Cost by Tier'!$P$5:$P$124,MATCH($F82&amp;"|"&amp;$C82,'Cost by Tier'!$R$5:$R$124,0))</f>
        <v>13000</v>
      </c>
      <c r="N82" s="46" t="n">
        <f aca="false">INDEX('Cost by Tier'!$Q$5:$Q$124,MATCH($F82&amp;"|"&amp;$C82,'Cost by Tier'!$R$5:$R$124,0))</f>
        <v>22120</v>
      </c>
    </row>
    <row r="83" customFormat="false" ht="15" hidden="false" customHeight="false" outlineLevel="0" collapsed="false">
      <c r="A83" s="11" t="s">
        <v>53</v>
      </c>
      <c r="B83" s="11" t="s">
        <v>21</v>
      </c>
      <c r="C83" s="11" t="s">
        <v>22</v>
      </c>
      <c r="D83" s="11" t="s">
        <v>35</v>
      </c>
      <c r="E83" s="11" t="s">
        <v>175</v>
      </c>
      <c r="F83" s="11" t="s">
        <v>176</v>
      </c>
      <c r="G83" s="33" t="str">
        <f aca="false">INDEX('Cost by Tier'!$F$5:$F$124,MATCH($F83&amp;"|"&amp;$C83,'Cost by Tier'!$R$5:$R$124,0))</f>
        <v>N</v>
      </c>
      <c r="H83" s="34" t="n">
        <f aca="false">INDEX('Cost by Tier'!$G$5:$G$124,MATCH($F83&amp;"|"&amp;$C83,'Cost by Tier'!$R$5:$R$124,0))</f>
        <v>1812</v>
      </c>
      <c r="I83" s="34" t="n">
        <f aca="false">INDEX('Cost by Tier'!$J$5:$J$124,MATCH($F83&amp;"|"&amp;$C83,'Cost by Tier'!$R$5:$R$124,0))</f>
        <v>1000</v>
      </c>
      <c r="J83" s="34" t="n">
        <f aca="false">INDEX('Cost by Tier'!$K$5:$K$124,MATCH($F83&amp;"|"&amp;$C83,'Cost by Tier'!$R$5:$R$124,0))</f>
        <v>812</v>
      </c>
      <c r="K83" s="36" t="n">
        <f aca="false">INDEX('Cost by Tier'!$M$5:$M$124,MATCH($F83&amp;"|"&amp;$C83,'Cost by Tier'!$R$5:$R$124,0))</f>
        <v>9744</v>
      </c>
      <c r="L83" s="36" t="n">
        <f aca="false">INDEX('Cost by Tier'!$O$5:$O$124,MATCH($F83&amp;"|"&amp;$C83,'Cost by Tier'!$R$5:$R$124,0))</f>
        <v>2000</v>
      </c>
      <c r="M83" s="36" t="n">
        <f aca="false">INDEX('Cost by Tier'!$P$5:$P$124,MATCH($F83&amp;"|"&amp;$C83,'Cost by Tier'!$R$5:$R$124,0))</f>
        <v>11000</v>
      </c>
      <c r="N83" s="46" t="n">
        <f aca="false">INDEX('Cost by Tier'!$Q$5:$Q$124,MATCH($F83&amp;"|"&amp;$C83,'Cost by Tier'!$R$5:$R$124,0))</f>
        <v>20744</v>
      </c>
    </row>
    <row r="84" customFormat="false" ht="15" hidden="false" customHeight="false" outlineLevel="0" collapsed="false">
      <c r="A84" s="11" t="s">
        <v>53</v>
      </c>
      <c r="B84" s="11" t="s">
        <v>21</v>
      </c>
      <c r="C84" s="11" t="s">
        <v>22</v>
      </c>
      <c r="D84" s="11" t="s">
        <v>35</v>
      </c>
      <c r="E84" s="11" t="s">
        <v>177</v>
      </c>
      <c r="F84" s="11" t="s">
        <v>178</v>
      </c>
      <c r="G84" s="33" t="str">
        <f aca="false">INDEX('Cost by Tier'!$F$5:$F$124,MATCH($F84&amp;"|"&amp;$C84,'Cost by Tier'!$R$5:$R$124,0))</f>
        <v>N</v>
      </c>
      <c r="H84" s="34" t="n">
        <f aca="false">INDEX('Cost by Tier'!$G$5:$G$124,MATCH($F84&amp;"|"&amp;$C84,'Cost by Tier'!$R$5:$R$124,0))</f>
        <v>1897</v>
      </c>
      <c r="I84" s="34" t="n">
        <f aca="false">INDEX('Cost by Tier'!$J$5:$J$124,MATCH($F84&amp;"|"&amp;$C84,'Cost by Tier'!$R$5:$R$124,0))</f>
        <v>1000</v>
      </c>
      <c r="J84" s="34" t="n">
        <f aca="false">INDEX('Cost by Tier'!$K$5:$K$124,MATCH($F84&amp;"|"&amp;$C84,'Cost by Tier'!$R$5:$R$124,0))</f>
        <v>897</v>
      </c>
      <c r="K84" s="36" t="n">
        <f aca="false">INDEX('Cost by Tier'!$M$5:$M$124,MATCH($F84&amp;"|"&amp;$C84,'Cost by Tier'!$R$5:$R$124,0))</f>
        <v>10764</v>
      </c>
      <c r="L84" s="36" t="n">
        <f aca="false">INDEX('Cost by Tier'!$O$5:$O$124,MATCH($F84&amp;"|"&amp;$C84,'Cost by Tier'!$R$5:$R$124,0))</f>
        <v>6000</v>
      </c>
      <c r="M84" s="36" t="n">
        <f aca="false">INDEX('Cost by Tier'!$P$5:$P$124,MATCH($F84&amp;"|"&amp;$C84,'Cost by Tier'!$R$5:$R$124,0))</f>
        <v>12000</v>
      </c>
      <c r="N84" s="46" t="n">
        <f aca="false">INDEX('Cost by Tier'!$Q$5:$Q$124,MATCH($F84&amp;"|"&amp;$C84,'Cost by Tier'!$R$5:$R$124,0))</f>
        <v>22764</v>
      </c>
    </row>
    <row r="85" customFormat="false" ht="15" hidden="false" customHeight="false" outlineLevel="0" collapsed="false">
      <c r="A85" s="11" t="s">
        <v>53</v>
      </c>
      <c r="B85" s="11" t="s">
        <v>21</v>
      </c>
      <c r="C85" s="11" t="s">
        <v>22</v>
      </c>
      <c r="D85" s="11" t="s">
        <v>35</v>
      </c>
      <c r="E85" s="11" t="s">
        <v>179</v>
      </c>
      <c r="F85" s="11" t="s">
        <v>180</v>
      </c>
      <c r="G85" s="33" t="str">
        <f aca="false">INDEX('Cost by Tier'!$F$5:$F$124,MATCH($F85&amp;"|"&amp;$C85,'Cost by Tier'!$R$5:$R$124,0))</f>
        <v>N</v>
      </c>
      <c r="H85" s="34" t="n">
        <f aca="false">INDEX('Cost by Tier'!$G$5:$G$124,MATCH($F85&amp;"|"&amp;$C85,'Cost by Tier'!$R$5:$R$124,0))</f>
        <v>1915</v>
      </c>
      <c r="I85" s="34" t="n">
        <f aca="false">INDEX('Cost by Tier'!$J$5:$J$124,MATCH($F85&amp;"|"&amp;$C85,'Cost by Tier'!$R$5:$R$124,0))</f>
        <v>1000</v>
      </c>
      <c r="J85" s="34" t="n">
        <f aca="false">INDEX('Cost by Tier'!$K$5:$K$124,MATCH($F85&amp;"|"&amp;$C85,'Cost by Tier'!$R$5:$R$124,0))</f>
        <v>915</v>
      </c>
      <c r="K85" s="36" t="n">
        <f aca="false">INDEX('Cost by Tier'!$M$5:$M$124,MATCH($F85&amp;"|"&amp;$C85,'Cost by Tier'!$R$5:$R$124,0))</f>
        <v>10980</v>
      </c>
      <c r="L85" s="36" t="n">
        <f aca="false">INDEX('Cost by Tier'!$O$5:$O$124,MATCH($F85&amp;"|"&amp;$C85,'Cost by Tier'!$R$5:$R$124,0))</f>
        <v>4000</v>
      </c>
      <c r="M85" s="36" t="n">
        <f aca="false">INDEX('Cost by Tier'!$P$5:$P$124,MATCH($F85&amp;"|"&amp;$C85,'Cost by Tier'!$R$5:$R$124,0))</f>
        <v>13700</v>
      </c>
      <c r="N85" s="46" t="n">
        <f aca="false">INDEX('Cost by Tier'!$Q$5:$Q$124,MATCH($F85&amp;"|"&amp;$C85,'Cost by Tier'!$R$5:$R$124,0))</f>
        <v>24680</v>
      </c>
    </row>
    <row r="86" customFormat="false" ht="15" hidden="false" customHeight="false" outlineLevel="0" collapsed="false">
      <c r="A86" s="11" t="s">
        <v>53</v>
      </c>
      <c r="B86" s="11" t="s">
        <v>21</v>
      </c>
      <c r="C86" s="11" t="s">
        <v>22</v>
      </c>
      <c r="D86" s="11" t="s">
        <v>35</v>
      </c>
      <c r="E86" s="11" t="s">
        <v>181</v>
      </c>
      <c r="F86" s="11" t="s">
        <v>182</v>
      </c>
      <c r="G86" s="33" t="str">
        <f aca="false">INDEX('Cost by Tier'!$F$5:$F$124,MATCH($F86&amp;"|"&amp;$C86,'Cost by Tier'!$R$5:$R$124,0))</f>
        <v>N</v>
      </c>
      <c r="H86" s="34" t="n">
        <f aca="false">INDEX('Cost by Tier'!$G$5:$G$124,MATCH($F86&amp;"|"&amp;$C86,'Cost by Tier'!$R$5:$R$124,0))</f>
        <v>1938</v>
      </c>
      <c r="I86" s="34" t="n">
        <f aca="false">INDEX('Cost by Tier'!$J$5:$J$124,MATCH($F86&amp;"|"&amp;$C86,'Cost by Tier'!$R$5:$R$124,0))</f>
        <v>1000</v>
      </c>
      <c r="J86" s="34" t="n">
        <f aca="false">INDEX('Cost by Tier'!$K$5:$K$124,MATCH($F86&amp;"|"&amp;$C86,'Cost by Tier'!$R$5:$R$124,0))</f>
        <v>938</v>
      </c>
      <c r="K86" s="36" t="n">
        <f aca="false">INDEX('Cost by Tier'!$M$5:$M$124,MATCH($F86&amp;"|"&amp;$C86,'Cost by Tier'!$R$5:$R$124,0))</f>
        <v>11256</v>
      </c>
      <c r="L86" s="36" t="n">
        <f aca="false">INDEX('Cost by Tier'!$O$5:$O$124,MATCH($F86&amp;"|"&amp;$C86,'Cost by Tier'!$R$5:$R$124,0))</f>
        <v>2000</v>
      </c>
      <c r="M86" s="36" t="n">
        <f aca="false">INDEX('Cost by Tier'!$P$5:$P$124,MATCH($F86&amp;"|"&amp;$C86,'Cost by Tier'!$R$5:$R$124,0))</f>
        <v>10000</v>
      </c>
      <c r="N86" s="46" t="n">
        <f aca="false">INDEX('Cost by Tier'!$Q$5:$Q$124,MATCH($F86&amp;"|"&amp;$C86,'Cost by Tier'!$R$5:$R$124,0))</f>
        <v>21256</v>
      </c>
    </row>
    <row r="87" customFormat="false" ht="15" hidden="false" customHeight="false" outlineLevel="0" collapsed="false">
      <c r="A87" s="11" t="s">
        <v>53</v>
      </c>
      <c r="B87" s="11" t="s">
        <v>21</v>
      </c>
      <c r="C87" s="11" t="s">
        <v>22</v>
      </c>
      <c r="D87" s="11" t="s">
        <v>35</v>
      </c>
      <c r="E87" s="11" t="s">
        <v>183</v>
      </c>
      <c r="F87" s="11" t="s">
        <v>184</v>
      </c>
      <c r="G87" s="33" t="str">
        <f aca="false">INDEX('Cost by Tier'!$F$5:$F$124,MATCH($F87&amp;"|"&amp;$C87,'Cost by Tier'!$R$5:$R$124,0))</f>
        <v>N</v>
      </c>
      <c r="H87" s="34" t="n">
        <f aca="false">INDEX('Cost by Tier'!$G$5:$G$124,MATCH($F87&amp;"|"&amp;$C87,'Cost by Tier'!$R$5:$R$124,0))</f>
        <v>2030</v>
      </c>
      <c r="I87" s="34" t="n">
        <f aca="false">INDEX('Cost by Tier'!$J$5:$J$124,MATCH($F87&amp;"|"&amp;$C87,'Cost by Tier'!$R$5:$R$124,0))</f>
        <v>1000</v>
      </c>
      <c r="J87" s="34" t="n">
        <f aca="false">INDEX('Cost by Tier'!$K$5:$K$124,MATCH($F87&amp;"|"&amp;$C87,'Cost by Tier'!$R$5:$R$124,0))</f>
        <v>1030</v>
      </c>
      <c r="K87" s="36" t="n">
        <f aca="false">INDEX('Cost by Tier'!$M$5:$M$124,MATCH($F87&amp;"|"&amp;$C87,'Cost by Tier'!$R$5:$R$124,0))</f>
        <v>12360</v>
      </c>
      <c r="L87" s="36" t="n">
        <f aca="false">INDEX('Cost by Tier'!$O$5:$O$124,MATCH($F87&amp;"|"&amp;$C87,'Cost by Tier'!$R$5:$R$124,0))</f>
        <v>2000</v>
      </c>
      <c r="M87" s="36" t="n">
        <f aca="false">INDEX('Cost by Tier'!$P$5:$P$124,MATCH($F87&amp;"|"&amp;$C87,'Cost by Tier'!$R$5:$R$124,0))</f>
        <v>9000</v>
      </c>
      <c r="N87" s="46" t="n">
        <f aca="false">INDEX('Cost by Tier'!$Q$5:$Q$124,MATCH($F87&amp;"|"&amp;$C87,'Cost by Tier'!$R$5:$R$124,0))</f>
        <v>21360</v>
      </c>
    </row>
    <row r="88" customFormat="false" ht="15" hidden="false" customHeight="false" outlineLevel="0" collapsed="false">
      <c r="A88" s="11" t="s">
        <v>53</v>
      </c>
      <c r="B88" s="11" t="s">
        <v>21</v>
      </c>
      <c r="C88" s="11" t="s">
        <v>22</v>
      </c>
      <c r="D88" s="11" t="s">
        <v>35</v>
      </c>
      <c r="E88" s="11" t="s">
        <v>185</v>
      </c>
      <c r="F88" s="11" t="s">
        <v>186</v>
      </c>
      <c r="G88" s="33" t="str">
        <f aca="false">INDEX('Cost by Tier'!$F$5:$F$124,MATCH($F88&amp;"|"&amp;$C88,'Cost by Tier'!$R$5:$R$124,0))</f>
        <v>Y</v>
      </c>
      <c r="H88" s="34" t="n">
        <f aca="false">INDEX('Cost by Tier'!$G$5:$G$124,MATCH($F88&amp;"|"&amp;$C88,'Cost by Tier'!$R$5:$R$124,0))</f>
        <v>1787</v>
      </c>
      <c r="I88" s="34" t="n">
        <f aca="false">INDEX('Cost by Tier'!$J$5:$J$124,MATCH($F88&amp;"|"&amp;$C88,'Cost by Tier'!$R$5:$R$124,0))</f>
        <v>1000</v>
      </c>
      <c r="J88" s="34" t="n">
        <f aca="false">INDEX('Cost by Tier'!$K$5:$K$124,MATCH($F88&amp;"|"&amp;$C88,'Cost by Tier'!$R$5:$R$124,0))</f>
        <v>787</v>
      </c>
      <c r="K88" s="36" t="n">
        <f aca="false">INDEX('Cost by Tier'!$M$5:$M$124,MATCH($F88&amp;"|"&amp;$C88,'Cost by Tier'!$R$5:$R$124,0))</f>
        <v>9444</v>
      </c>
      <c r="L88" s="36" t="n">
        <f aca="false">INDEX('Cost by Tier'!$O$5:$O$124,MATCH($F88&amp;"|"&amp;$C88,'Cost by Tier'!$R$5:$R$124,0))</f>
        <v>4000</v>
      </c>
      <c r="M88" s="36" t="n">
        <f aca="false">INDEX('Cost by Tier'!$P$5:$P$124,MATCH($F88&amp;"|"&amp;$C88,'Cost by Tier'!$R$5:$R$124,0))</f>
        <v>7000</v>
      </c>
      <c r="N88" s="46" t="n">
        <f aca="false">INDEX('Cost by Tier'!$Q$5:$Q$124,MATCH($F88&amp;"|"&amp;$C88,'Cost by Tier'!$R$5:$R$124,0))</f>
        <v>16444</v>
      </c>
    </row>
    <row r="89" customFormat="false" ht="15" hidden="false" customHeight="false" outlineLevel="0" collapsed="false">
      <c r="A89" s="11" t="s">
        <v>53</v>
      </c>
      <c r="B89" s="11" t="s">
        <v>21</v>
      </c>
      <c r="C89" s="11" t="s">
        <v>22</v>
      </c>
      <c r="D89" s="11" t="s">
        <v>35</v>
      </c>
      <c r="E89" s="11" t="s">
        <v>189</v>
      </c>
      <c r="F89" s="11" t="s">
        <v>190</v>
      </c>
      <c r="G89" s="33" t="str">
        <f aca="false">INDEX('Cost by Tier'!$F$5:$F$124,MATCH($F89&amp;"|"&amp;$C89,'Cost by Tier'!$R$5:$R$124,0))</f>
        <v>N</v>
      </c>
      <c r="H89" s="34" t="n">
        <f aca="false">INDEX('Cost by Tier'!$G$5:$G$124,MATCH($F89&amp;"|"&amp;$C89,'Cost by Tier'!$R$5:$R$124,0))</f>
        <v>2252</v>
      </c>
      <c r="I89" s="34" t="n">
        <f aca="false">INDEX('Cost by Tier'!$J$5:$J$124,MATCH($F89&amp;"|"&amp;$C89,'Cost by Tier'!$R$5:$R$124,0))</f>
        <v>1000</v>
      </c>
      <c r="J89" s="34" t="n">
        <f aca="false">INDEX('Cost by Tier'!$K$5:$K$124,MATCH($F89&amp;"|"&amp;$C89,'Cost by Tier'!$R$5:$R$124,0))</f>
        <v>1252</v>
      </c>
      <c r="K89" s="36" t="n">
        <f aca="false">INDEX('Cost by Tier'!$M$5:$M$124,MATCH($F89&amp;"|"&amp;$C89,'Cost by Tier'!$R$5:$R$124,0))</f>
        <v>15024</v>
      </c>
      <c r="L89" s="36" t="n">
        <f aca="false">INDEX('Cost by Tier'!$O$5:$O$124,MATCH($F89&amp;"|"&amp;$C89,'Cost by Tier'!$R$5:$R$124,0))</f>
        <v>1500</v>
      </c>
      <c r="M89" s="36" t="n">
        <f aca="false">INDEX('Cost by Tier'!$P$5:$P$124,MATCH($F89&amp;"|"&amp;$C89,'Cost by Tier'!$R$5:$R$124,0))</f>
        <v>8000</v>
      </c>
      <c r="N89" s="46" t="n">
        <f aca="false">INDEX('Cost by Tier'!$Q$5:$Q$124,MATCH($F89&amp;"|"&amp;$C89,'Cost by Tier'!$R$5:$R$124,0))</f>
        <v>23024</v>
      </c>
    </row>
    <row r="90" customFormat="false" ht="15" hidden="false" customHeight="false" outlineLevel="0" collapsed="false">
      <c r="A90" s="11" t="s">
        <v>53</v>
      </c>
      <c r="B90" s="11" t="s">
        <v>21</v>
      </c>
      <c r="C90" s="11" t="s">
        <v>22</v>
      </c>
      <c r="D90" s="11" t="s">
        <v>35</v>
      </c>
      <c r="E90" s="11" t="s">
        <v>191</v>
      </c>
      <c r="F90" s="11" t="s">
        <v>192</v>
      </c>
      <c r="G90" s="33" t="str">
        <f aca="false">INDEX('Cost by Tier'!$F$5:$F$124,MATCH($F90&amp;"|"&amp;$C90,'Cost by Tier'!$R$5:$R$124,0))</f>
        <v>N</v>
      </c>
      <c r="H90" s="34" t="n">
        <f aca="false">INDEX('Cost by Tier'!$G$5:$G$124,MATCH($F90&amp;"|"&amp;$C90,'Cost by Tier'!$R$5:$R$124,0))</f>
        <v>2404</v>
      </c>
      <c r="I90" s="34" t="n">
        <f aca="false">INDEX('Cost by Tier'!$J$5:$J$124,MATCH($F90&amp;"|"&amp;$C90,'Cost by Tier'!$R$5:$R$124,0))</f>
        <v>1000</v>
      </c>
      <c r="J90" s="34" t="n">
        <f aca="false">INDEX('Cost by Tier'!$K$5:$K$124,MATCH($F90&amp;"|"&amp;$C90,'Cost by Tier'!$R$5:$R$124,0))</f>
        <v>1404</v>
      </c>
      <c r="K90" s="36" t="n">
        <f aca="false">INDEX('Cost by Tier'!$M$5:$M$124,MATCH($F90&amp;"|"&amp;$C90,'Cost by Tier'!$R$5:$R$124,0))</f>
        <v>16848</v>
      </c>
      <c r="L90" s="36" t="n">
        <f aca="false">INDEX('Cost by Tier'!$O$5:$O$124,MATCH($F90&amp;"|"&amp;$C90,'Cost by Tier'!$R$5:$R$124,0))</f>
        <v>0</v>
      </c>
      <c r="M90" s="36" t="n">
        <f aca="false">INDEX('Cost by Tier'!$P$5:$P$124,MATCH($F90&amp;"|"&amp;$C90,'Cost by Tier'!$R$5:$R$124,0))</f>
        <v>6000</v>
      </c>
      <c r="N90" s="46" t="n">
        <f aca="false">INDEX('Cost by Tier'!$Q$5:$Q$124,MATCH($F90&amp;"|"&amp;$C90,'Cost by Tier'!$R$5:$R$124,0))</f>
        <v>22848</v>
      </c>
    </row>
    <row r="91" customFormat="false" ht="15" hidden="false" customHeight="false" outlineLevel="0" collapsed="false">
      <c r="A91" s="11" t="s">
        <v>53</v>
      </c>
      <c r="B91" s="11" t="s">
        <v>21</v>
      </c>
      <c r="C91" s="11" t="s">
        <v>22</v>
      </c>
      <c r="D91" s="11" t="s">
        <v>35</v>
      </c>
      <c r="E91" s="11" t="s">
        <v>194</v>
      </c>
      <c r="F91" s="11" t="s">
        <v>195</v>
      </c>
      <c r="G91" s="33" t="str">
        <f aca="false">INDEX('Cost by Tier'!$F$5:$F$124,MATCH($F91&amp;"|"&amp;$C91,'Cost by Tier'!$R$5:$R$124,0))</f>
        <v>N</v>
      </c>
      <c r="H91" s="34" t="n">
        <f aca="false">INDEX('Cost by Tier'!$G$5:$G$124,MATCH($F91&amp;"|"&amp;$C91,'Cost by Tier'!$R$5:$R$124,0))</f>
        <v>2614</v>
      </c>
      <c r="I91" s="34" t="n">
        <f aca="false">INDEX('Cost by Tier'!$J$5:$J$124,MATCH($F91&amp;"|"&amp;$C91,'Cost by Tier'!$R$5:$R$124,0))</f>
        <v>1000</v>
      </c>
      <c r="J91" s="34" t="n">
        <f aca="false">INDEX('Cost by Tier'!$K$5:$K$124,MATCH($F91&amp;"|"&amp;$C91,'Cost by Tier'!$R$5:$R$124,0))</f>
        <v>1614</v>
      </c>
      <c r="K91" s="36" t="n">
        <f aca="false">INDEX('Cost by Tier'!$M$5:$M$124,MATCH($F91&amp;"|"&amp;$C91,'Cost by Tier'!$R$5:$R$124,0))</f>
        <v>19368</v>
      </c>
      <c r="L91" s="36" t="n">
        <f aca="false">INDEX('Cost by Tier'!$O$5:$O$124,MATCH($F91&amp;"|"&amp;$C91,'Cost by Tier'!$R$5:$R$124,0))</f>
        <v>600</v>
      </c>
      <c r="M91" s="36" t="n">
        <f aca="false">INDEX('Cost by Tier'!$P$5:$P$124,MATCH($F91&amp;"|"&amp;$C91,'Cost by Tier'!$R$5:$R$124,0))</f>
        <v>6000</v>
      </c>
      <c r="N91" s="46" t="n">
        <f aca="false">INDEX('Cost by Tier'!$Q$5:$Q$124,MATCH($F91&amp;"|"&amp;$C91,'Cost by Tier'!$R$5:$R$124,0))</f>
        <v>25368</v>
      </c>
    </row>
    <row r="92" customFormat="false" ht="15" hidden="false" customHeight="false" outlineLevel="0" collapsed="false">
      <c r="A92" s="11" t="s">
        <v>53</v>
      </c>
      <c r="B92" s="11" t="s">
        <v>21</v>
      </c>
      <c r="C92" s="11" t="s">
        <v>22</v>
      </c>
      <c r="D92" s="11" t="s">
        <v>38</v>
      </c>
      <c r="E92" s="11" t="s">
        <v>39</v>
      </c>
      <c r="F92" s="11" t="s">
        <v>196</v>
      </c>
      <c r="G92" s="33" t="str">
        <f aca="false">INDEX('Cost by Tier'!$F$5:$F$124,MATCH($F92&amp;"|"&amp;$C92,'Cost by Tier'!$R$5:$R$124,0))</f>
        <v>Y</v>
      </c>
      <c r="H92" s="34" t="n">
        <f aca="false">INDEX('Cost by Tier'!$G$5:$G$124,MATCH($F92&amp;"|"&amp;$C92,'Cost by Tier'!$R$5:$R$124,0))</f>
        <v>1361</v>
      </c>
      <c r="I92" s="34" t="n">
        <f aca="false">INDEX('Cost by Tier'!$J$5:$J$124,MATCH($F92&amp;"|"&amp;$C92,'Cost by Tier'!$R$5:$R$124,0))</f>
        <v>1000</v>
      </c>
      <c r="J92" s="34" t="n">
        <f aca="false">INDEX('Cost by Tier'!$K$5:$K$124,MATCH($F92&amp;"|"&amp;$C92,'Cost by Tier'!$R$5:$R$124,0))</f>
        <v>361</v>
      </c>
      <c r="K92" s="36" t="n">
        <f aca="false">INDEX('Cost by Tier'!$M$5:$M$124,MATCH($F92&amp;"|"&amp;$C92,'Cost by Tier'!$R$5:$R$124,0))</f>
        <v>4332</v>
      </c>
      <c r="L92" s="36" t="n">
        <f aca="false">INDEX('Cost by Tier'!$O$5:$O$124,MATCH($F92&amp;"|"&amp;$C92,'Cost by Tier'!$R$5:$R$124,0))</f>
        <v>6800</v>
      </c>
      <c r="M92" s="36" t="n">
        <f aca="false">INDEX('Cost by Tier'!$P$5:$P$124,MATCH($F92&amp;"|"&amp;$C92,'Cost by Tier'!$R$5:$R$124,0))</f>
        <v>10000</v>
      </c>
      <c r="N92" s="46" t="n">
        <f aca="false">INDEX('Cost by Tier'!$Q$5:$Q$124,MATCH($F92&amp;"|"&amp;$C92,'Cost by Tier'!$R$5:$R$124,0))</f>
        <v>14332</v>
      </c>
    </row>
    <row r="93" customFormat="false" ht="15" hidden="false" customHeight="false" outlineLevel="0" collapsed="false">
      <c r="A93" s="11" t="s">
        <v>53</v>
      </c>
      <c r="B93" s="11" t="s">
        <v>21</v>
      </c>
      <c r="C93" s="11" t="s">
        <v>22</v>
      </c>
      <c r="D93" s="11" t="s">
        <v>38</v>
      </c>
      <c r="E93" s="11" t="s">
        <v>199</v>
      </c>
      <c r="F93" s="11" t="s">
        <v>200</v>
      </c>
      <c r="G93" s="33" t="str">
        <f aca="false">INDEX('Cost by Tier'!$F$5:$F$124,MATCH($F93&amp;"|"&amp;$C93,'Cost by Tier'!$R$5:$R$124,0))</f>
        <v>N</v>
      </c>
      <c r="H93" s="34" t="n">
        <f aca="false">INDEX('Cost by Tier'!$G$5:$G$124,MATCH($F93&amp;"|"&amp;$C93,'Cost by Tier'!$R$5:$R$124,0))</f>
        <v>1525.54</v>
      </c>
      <c r="I93" s="34" t="n">
        <f aca="false">INDEX('Cost by Tier'!$J$5:$J$124,MATCH($F93&amp;"|"&amp;$C93,'Cost by Tier'!$R$5:$R$124,0))</f>
        <v>1000</v>
      </c>
      <c r="J93" s="34" t="n">
        <f aca="false">INDEX('Cost by Tier'!$K$5:$K$124,MATCH($F93&amp;"|"&amp;$C93,'Cost by Tier'!$R$5:$R$124,0))</f>
        <v>525.54</v>
      </c>
      <c r="K93" s="36" t="n">
        <f aca="false">INDEX('Cost by Tier'!$M$5:$M$124,MATCH($F93&amp;"|"&amp;$C93,'Cost by Tier'!$R$5:$R$124,0))</f>
        <v>6306.48</v>
      </c>
      <c r="L93" s="36" t="n">
        <f aca="false">INDEX('Cost by Tier'!$O$5:$O$124,MATCH($F93&amp;"|"&amp;$C93,'Cost by Tier'!$R$5:$R$124,0))</f>
        <v>4000</v>
      </c>
      <c r="M93" s="36" t="n">
        <f aca="false">INDEX('Cost by Tier'!$P$5:$P$124,MATCH($F93&amp;"|"&amp;$C93,'Cost by Tier'!$R$5:$R$124,0))</f>
        <v>8000</v>
      </c>
      <c r="N93" s="46" t="n">
        <f aca="false">INDEX('Cost by Tier'!$Q$5:$Q$124,MATCH($F93&amp;"|"&amp;$C93,'Cost by Tier'!$R$5:$R$124,0))</f>
        <v>14306.48</v>
      </c>
    </row>
    <row r="94" customFormat="false" ht="15" hidden="false" customHeight="false" outlineLevel="0" collapsed="false">
      <c r="A94" s="11" t="s">
        <v>53</v>
      </c>
      <c r="B94" s="11" t="s">
        <v>21</v>
      </c>
      <c r="C94" s="11" t="s">
        <v>22</v>
      </c>
      <c r="D94" s="11" t="s">
        <v>38</v>
      </c>
      <c r="E94" s="11" t="s">
        <v>203</v>
      </c>
      <c r="F94" s="11" t="s">
        <v>204</v>
      </c>
      <c r="G94" s="33" t="str">
        <f aca="false">INDEX('Cost by Tier'!$F$5:$F$124,MATCH($F94&amp;"|"&amp;$C94,'Cost by Tier'!$R$5:$R$124,0))</f>
        <v>N</v>
      </c>
      <c r="H94" s="34" t="n">
        <f aca="false">INDEX('Cost by Tier'!$G$5:$G$124,MATCH($F94&amp;"|"&amp;$C94,'Cost by Tier'!$R$5:$R$124,0))</f>
        <v>1693.61</v>
      </c>
      <c r="I94" s="34" t="n">
        <f aca="false">INDEX('Cost by Tier'!$J$5:$J$124,MATCH($F94&amp;"|"&amp;$C94,'Cost by Tier'!$R$5:$R$124,0))</f>
        <v>1000</v>
      </c>
      <c r="J94" s="34" t="n">
        <f aca="false">INDEX('Cost by Tier'!$K$5:$K$124,MATCH($F94&amp;"|"&amp;$C94,'Cost by Tier'!$R$5:$R$124,0))</f>
        <v>693.61</v>
      </c>
      <c r="K94" s="36" t="n">
        <f aca="false">INDEX('Cost by Tier'!$M$5:$M$124,MATCH($F94&amp;"|"&amp;$C94,'Cost by Tier'!$R$5:$R$124,0))</f>
        <v>8323.32</v>
      </c>
      <c r="L94" s="36" t="n">
        <f aca="false">INDEX('Cost by Tier'!$O$5:$O$124,MATCH($F94&amp;"|"&amp;$C94,'Cost by Tier'!$R$5:$R$124,0))</f>
        <v>2000</v>
      </c>
      <c r="M94" s="36" t="n">
        <f aca="false">INDEX('Cost by Tier'!$P$5:$P$124,MATCH($F94&amp;"|"&amp;$C94,'Cost by Tier'!$R$5:$R$124,0))</f>
        <v>4000</v>
      </c>
      <c r="N94" s="46" t="n">
        <f aca="false">INDEX('Cost by Tier'!$Q$5:$Q$124,MATCH($F94&amp;"|"&amp;$C94,'Cost by Tier'!$R$5:$R$124,0))</f>
        <v>12323.32</v>
      </c>
    </row>
    <row r="95" customFormat="false" ht="15" hidden="false" customHeight="false" outlineLevel="0" collapsed="false">
      <c r="A95" s="11" t="s">
        <v>55</v>
      </c>
      <c r="B95" s="11" t="s">
        <v>15</v>
      </c>
      <c r="C95" s="11" t="s">
        <v>16</v>
      </c>
      <c r="D95" s="11" t="s">
        <v>32</v>
      </c>
      <c r="E95" s="11" t="s">
        <v>105</v>
      </c>
      <c r="F95" s="11" t="s">
        <v>106</v>
      </c>
      <c r="G95" s="33" t="str">
        <f aca="false">INDEX('Cost by Tier'!$F$5:$F$124,MATCH($F95&amp;"|"&amp;$C95,'Cost by Tier'!$R$5:$R$124,0))</f>
        <v>Y</v>
      </c>
      <c r="H95" s="34" t="n">
        <f aca="false">INDEX('Cost by Tier'!$G$5:$G$124,MATCH($F95&amp;"|"&amp;$C95,'Cost by Tier'!$R$5:$R$124,0))</f>
        <v>1377.42</v>
      </c>
      <c r="I95" s="34" t="n">
        <f aca="false">INDEX('Cost by Tier'!$J$5:$J$124,MATCH($F95&amp;"|"&amp;$C95,'Cost by Tier'!$R$5:$R$124,0))</f>
        <v>600</v>
      </c>
      <c r="J95" s="34" t="n">
        <f aca="false">INDEX('Cost by Tier'!$K$5:$K$124,MATCH($F95&amp;"|"&amp;$C95,'Cost by Tier'!$R$5:$R$124,0))</f>
        <v>777.42</v>
      </c>
      <c r="K95" s="36" t="n">
        <f aca="false">INDEX('Cost by Tier'!$M$5:$M$124,MATCH($F95&amp;"|"&amp;$C95,'Cost by Tier'!$R$5:$R$124,0))</f>
        <v>9329.04</v>
      </c>
      <c r="L95" s="36" t="n">
        <f aca="false">INDEX('Cost by Tier'!$O$5:$O$124,MATCH($F95&amp;"|"&amp;$C95,'Cost by Tier'!$R$5:$R$124,0))</f>
        <v>4000</v>
      </c>
      <c r="M95" s="36" t="n">
        <f aca="false">INDEX('Cost by Tier'!$P$5:$P$124,MATCH($F95&amp;"|"&amp;$C95,'Cost by Tier'!$R$5:$R$124,0))</f>
        <v>7000</v>
      </c>
      <c r="N95" s="46" t="n">
        <f aca="false">INDEX('Cost by Tier'!$Q$5:$Q$124,MATCH($F95&amp;"|"&amp;$C95,'Cost by Tier'!$R$5:$R$124,0))</f>
        <v>16329.04</v>
      </c>
    </row>
    <row r="96" customFormat="false" ht="15" hidden="false" customHeight="false" outlineLevel="0" collapsed="false">
      <c r="A96" s="11" t="s">
        <v>55</v>
      </c>
      <c r="B96" s="11" t="s">
        <v>15</v>
      </c>
      <c r="C96" s="11" t="s">
        <v>16</v>
      </c>
      <c r="D96" s="11" t="s">
        <v>32</v>
      </c>
      <c r="E96" s="11" t="s">
        <v>113</v>
      </c>
      <c r="F96" s="11" t="s">
        <v>114</v>
      </c>
      <c r="G96" s="33" t="str">
        <f aca="false">INDEX('Cost by Tier'!$F$5:$F$124,MATCH($F96&amp;"|"&amp;$C96,'Cost by Tier'!$R$5:$R$124,0))</f>
        <v>Y</v>
      </c>
      <c r="H96" s="34" t="n">
        <f aca="false">INDEX('Cost by Tier'!$G$5:$G$124,MATCH($F96&amp;"|"&amp;$C96,'Cost by Tier'!$R$5:$R$124,0))</f>
        <v>1304.77</v>
      </c>
      <c r="I96" s="34" t="n">
        <f aca="false">INDEX('Cost by Tier'!$J$5:$J$124,MATCH($F96&amp;"|"&amp;$C96,'Cost by Tier'!$R$5:$R$124,0))</f>
        <v>600</v>
      </c>
      <c r="J96" s="34" t="n">
        <f aca="false">INDEX('Cost by Tier'!$K$5:$K$124,MATCH($F96&amp;"|"&amp;$C96,'Cost by Tier'!$R$5:$R$124,0))</f>
        <v>704.77</v>
      </c>
      <c r="K96" s="36" t="n">
        <f aca="false">INDEX('Cost by Tier'!$M$5:$M$124,MATCH($F96&amp;"|"&amp;$C96,'Cost by Tier'!$R$5:$R$124,0))</f>
        <v>8457.24</v>
      </c>
      <c r="L96" s="36" t="n">
        <f aca="false">INDEX('Cost by Tier'!$O$5:$O$124,MATCH($F96&amp;"|"&amp;$C96,'Cost by Tier'!$R$5:$R$124,0))</f>
        <v>5000</v>
      </c>
      <c r="M96" s="36" t="n">
        <f aca="false">INDEX('Cost by Tier'!$P$5:$P$124,MATCH($F96&amp;"|"&amp;$C96,'Cost by Tier'!$R$5:$R$124,0))</f>
        <v>7000</v>
      </c>
      <c r="N96" s="46" t="n">
        <f aca="false">INDEX('Cost by Tier'!$Q$5:$Q$124,MATCH($F96&amp;"|"&amp;$C96,'Cost by Tier'!$R$5:$R$124,0))</f>
        <v>15457.24</v>
      </c>
    </row>
    <row r="97" customFormat="false" ht="15" hidden="false" customHeight="false" outlineLevel="0" collapsed="false">
      <c r="A97" s="11" t="s">
        <v>55</v>
      </c>
      <c r="B97" s="11" t="s">
        <v>15</v>
      </c>
      <c r="C97" s="11" t="s">
        <v>16</v>
      </c>
      <c r="D97" s="11" t="s">
        <v>32</v>
      </c>
      <c r="E97" s="11" t="s">
        <v>115</v>
      </c>
      <c r="F97" s="11" t="s">
        <v>116</v>
      </c>
      <c r="G97" s="33" t="str">
        <f aca="false">INDEX('Cost by Tier'!$F$5:$F$124,MATCH($F97&amp;"|"&amp;$C97,'Cost by Tier'!$R$5:$R$124,0))</f>
        <v>N</v>
      </c>
      <c r="H97" s="34" t="n">
        <f aca="false">INDEX('Cost by Tier'!$G$5:$G$124,MATCH($F97&amp;"|"&amp;$C97,'Cost by Tier'!$R$5:$R$124,0))</f>
        <v>1898.25</v>
      </c>
      <c r="I97" s="34" t="n">
        <f aca="false">INDEX('Cost by Tier'!$J$5:$J$124,MATCH($F97&amp;"|"&amp;$C97,'Cost by Tier'!$R$5:$R$124,0))</f>
        <v>600</v>
      </c>
      <c r="J97" s="34" t="n">
        <f aca="false">INDEX('Cost by Tier'!$K$5:$K$124,MATCH($F97&amp;"|"&amp;$C97,'Cost by Tier'!$R$5:$R$124,0))</f>
        <v>1298.25</v>
      </c>
      <c r="K97" s="36" t="n">
        <f aca="false">INDEX('Cost by Tier'!$M$5:$M$124,MATCH($F97&amp;"|"&amp;$C97,'Cost by Tier'!$R$5:$R$124,0))</f>
        <v>15579</v>
      </c>
      <c r="L97" s="36" t="n">
        <f aca="false">INDEX('Cost by Tier'!$O$5:$O$124,MATCH($F97&amp;"|"&amp;$C97,'Cost by Tier'!$R$5:$R$124,0))</f>
        <v>1000</v>
      </c>
      <c r="M97" s="36" t="n">
        <f aca="false">INDEX('Cost by Tier'!$P$5:$P$124,MATCH($F97&amp;"|"&amp;$C97,'Cost by Tier'!$R$5:$R$124,0))</f>
        <v>7000</v>
      </c>
      <c r="N97" s="46" t="n">
        <f aca="false">INDEX('Cost by Tier'!$Q$5:$Q$124,MATCH($F97&amp;"|"&amp;$C97,'Cost by Tier'!$R$5:$R$124,0))</f>
        <v>22579</v>
      </c>
    </row>
    <row r="98" customFormat="false" ht="15" hidden="false" customHeight="false" outlineLevel="0" collapsed="false">
      <c r="A98" s="11" t="s">
        <v>55</v>
      </c>
      <c r="B98" s="11" t="s">
        <v>15</v>
      </c>
      <c r="C98" s="11" t="s">
        <v>16</v>
      </c>
      <c r="D98" s="11" t="s">
        <v>32</v>
      </c>
      <c r="E98" s="11" t="s">
        <v>123</v>
      </c>
      <c r="F98" s="11" t="s">
        <v>124</v>
      </c>
      <c r="G98" s="33" t="str">
        <f aca="false">INDEX('Cost by Tier'!$F$5:$F$124,MATCH($F98&amp;"|"&amp;$C98,'Cost by Tier'!$R$5:$R$124,0))</f>
        <v>N</v>
      </c>
      <c r="H98" s="34" t="n">
        <f aca="false">INDEX('Cost by Tier'!$G$5:$G$124,MATCH($F98&amp;"|"&amp;$C98,'Cost by Tier'!$R$5:$R$124,0))</f>
        <v>1651.66</v>
      </c>
      <c r="I98" s="34" t="n">
        <f aca="false">INDEX('Cost by Tier'!$J$5:$J$124,MATCH($F98&amp;"|"&amp;$C98,'Cost by Tier'!$R$5:$R$124,0))</f>
        <v>600</v>
      </c>
      <c r="J98" s="34" t="n">
        <f aca="false">INDEX('Cost by Tier'!$K$5:$K$124,MATCH($F98&amp;"|"&amp;$C98,'Cost by Tier'!$R$5:$R$124,0))</f>
        <v>1051.66</v>
      </c>
      <c r="K98" s="36" t="n">
        <f aca="false">INDEX('Cost by Tier'!$M$5:$M$124,MATCH($F98&amp;"|"&amp;$C98,'Cost by Tier'!$R$5:$R$124,0))</f>
        <v>12619.92</v>
      </c>
      <c r="L98" s="36" t="n">
        <f aca="false">INDEX('Cost by Tier'!$O$5:$O$124,MATCH($F98&amp;"|"&amp;$C98,'Cost by Tier'!$R$5:$R$124,0))</f>
        <v>2000</v>
      </c>
      <c r="M98" s="36" t="n">
        <f aca="false">INDEX('Cost by Tier'!$P$5:$P$124,MATCH($F98&amp;"|"&amp;$C98,'Cost by Tier'!$R$5:$R$124,0))</f>
        <v>9000</v>
      </c>
      <c r="N98" s="46" t="n">
        <f aca="false">INDEX('Cost by Tier'!$Q$5:$Q$124,MATCH($F98&amp;"|"&amp;$C98,'Cost by Tier'!$R$5:$R$124,0))</f>
        <v>21619.92</v>
      </c>
    </row>
    <row r="99" customFormat="false" ht="15" hidden="false" customHeight="false" outlineLevel="0" collapsed="false">
      <c r="A99" s="11" t="s">
        <v>55</v>
      </c>
      <c r="B99" s="11" t="s">
        <v>15</v>
      </c>
      <c r="C99" s="11" t="s">
        <v>16</v>
      </c>
      <c r="D99" s="11" t="s">
        <v>32</v>
      </c>
      <c r="E99" s="11" t="s">
        <v>126</v>
      </c>
      <c r="F99" s="11" t="s">
        <v>127</v>
      </c>
      <c r="G99" s="33" t="str">
        <f aca="false">INDEX('Cost by Tier'!$F$5:$F$124,MATCH($F99&amp;"|"&amp;$C99,'Cost by Tier'!$R$5:$R$124,0))</f>
        <v>Y</v>
      </c>
      <c r="H99" s="34" t="n">
        <f aca="false">INDEX('Cost by Tier'!$G$5:$G$124,MATCH($F99&amp;"|"&amp;$C99,'Cost by Tier'!$R$5:$R$124,0))</f>
        <v>1053.75</v>
      </c>
      <c r="I99" s="34" t="n">
        <f aca="false">INDEX('Cost by Tier'!$J$5:$J$124,MATCH($F99&amp;"|"&amp;$C99,'Cost by Tier'!$R$5:$R$124,0))</f>
        <v>600</v>
      </c>
      <c r="J99" s="34" t="n">
        <f aca="false">INDEX('Cost by Tier'!$K$5:$K$124,MATCH($F99&amp;"|"&amp;$C99,'Cost by Tier'!$R$5:$R$124,0))</f>
        <v>453.75</v>
      </c>
      <c r="K99" s="36" t="n">
        <f aca="false">INDEX('Cost by Tier'!$M$5:$M$124,MATCH($F99&amp;"|"&amp;$C99,'Cost by Tier'!$R$5:$R$124,0))</f>
        <v>5445</v>
      </c>
      <c r="L99" s="36" t="n">
        <f aca="false">INDEX('Cost by Tier'!$O$5:$O$124,MATCH($F99&amp;"|"&amp;$C99,'Cost by Tier'!$R$5:$R$124,0))</f>
        <v>7000</v>
      </c>
      <c r="M99" s="36" t="n">
        <f aca="false">INDEX('Cost by Tier'!$P$5:$P$124,MATCH($F99&amp;"|"&amp;$C99,'Cost by Tier'!$R$5:$R$124,0))</f>
        <v>12700</v>
      </c>
      <c r="N99" s="46" t="n">
        <f aca="false">INDEX('Cost by Tier'!$Q$5:$Q$124,MATCH($F99&amp;"|"&amp;$C99,'Cost by Tier'!$R$5:$R$124,0))</f>
        <v>18145</v>
      </c>
    </row>
    <row r="100" customFormat="false" ht="15" hidden="false" customHeight="false" outlineLevel="0" collapsed="false">
      <c r="A100" s="11" t="s">
        <v>55</v>
      </c>
      <c r="B100" s="11" t="s">
        <v>15</v>
      </c>
      <c r="C100" s="11" t="s">
        <v>16</v>
      </c>
      <c r="D100" s="11" t="s">
        <v>32</v>
      </c>
      <c r="E100" s="11" t="s">
        <v>131</v>
      </c>
      <c r="F100" s="11" t="s">
        <v>132</v>
      </c>
      <c r="G100" s="33" t="str">
        <f aca="false">INDEX('Cost by Tier'!$F$5:$F$124,MATCH($F100&amp;"|"&amp;$C100,'Cost by Tier'!$R$5:$R$124,0))</f>
        <v>N</v>
      </c>
      <c r="H100" s="34" t="n">
        <f aca="false">INDEX('Cost by Tier'!$G$5:$G$124,MATCH($F100&amp;"|"&amp;$C100,'Cost by Tier'!$R$5:$R$124,0))</f>
        <v>1774.24</v>
      </c>
      <c r="I100" s="34" t="n">
        <f aca="false">INDEX('Cost by Tier'!$J$5:$J$124,MATCH($F100&amp;"|"&amp;$C100,'Cost by Tier'!$R$5:$R$124,0))</f>
        <v>600</v>
      </c>
      <c r="J100" s="34" t="n">
        <f aca="false">INDEX('Cost by Tier'!$K$5:$K$124,MATCH($F100&amp;"|"&amp;$C100,'Cost by Tier'!$R$5:$R$124,0))</f>
        <v>1174.24</v>
      </c>
      <c r="K100" s="36" t="n">
        <f aca="false">INDEX('Cost by Tier'!$M$5:$M$124,MATCH($F100&amp;"|"&amp;$C100,'Cost by Tier'!$R$5:$R$124,0))</f>
        <v>14090.88</v>
      </c>
      <c r="L100" s="36" t="n">
        <f aca="false">INDEX('Cost by Tier'!$O$5:$O$124,MATCH($F100&amp;"|"&amp;$C100,'Cost by Tier'!$R$5:$R$124,0))</f>
        <v>1000</v>
      </c>
      <c r="M100" s="36" t="n">
        <f aca="false">INDEX('Cost by Tier'!$P$5:$P$124,MATCH($F100&amp;"|"&amp;$C100,'Cost by Tier'!$R$5:$R$124,0))</f>
        <v>7000</v>
      </c>
      <c r="N100" s="46" t="n">
        <f aca="false">INDEX('Cost by Tier'!$Q$5:$Q$124,MATCH($F100&amp;"|"&amp;$C100,'Cost by Tier'!$R$5:$R$124,0))</f>
        <v>21090.88</v>
      </c>
    </row>
    <row r="101" customFormat="false" ht="15" hidden="false" customHeight="false" outlineLevel="0" collapsed="false">
      <c r="A101" s="11" t="s">
        <v>55</v>
      </c>
      <c r="B101" s="11" t="s">
        <v>15</v>
      </c>
      <c r="C101" s="11" t="s">
        <v>16</v>
      </c>
      <c r="D101" s="11" t="s">
        <v>32</v>
      </c>
      <c r="E101" s="11" t="s">
        <v>133</v>
      </c>
      <c r="F101" s="11" t="s">
        <v>134</v>
      </c>
      <c r="G101" s="33" t="str">
        <f aca="false">INDEX('Cost by Tier'!$F$5:$F$124,MATCH($F101&amp;"|"&amp;$C101,'Cost by Tier'!$R$5:$R$124,0))</f>
        <v>N</v>
      </c>
      <c r="H101" s="34" t="n">
        <f aca="false">INDEX('Cost by Tier'!$G$5:$G$124,MATCH($F101&amp;"|"&amp;$C101,'Cost by Tier'!$R$5:$R$124,0))</f>
        <v>1610.67</v>
      </c>
      <c r="I101" s="34" t="n">
        <f aca="false">INDEX('Cost by Tier'!$J$5:$J$124,MATCH($F101&amp;"|"&amp;$C101,'Cost by Tier'!$R$5:$R$124,0))</f>
        <v>600</v>
      </c>
      <c r="J101" s="34" t="n">
        <f aca="false">INDEX('Cost by Tier'!$K$5:$K$124,MATCH($F101&amp;"|"&amp;$C101,'Cost by Tier'!$R$5:$R$124,0))</f>
        <v>1010.67</v>
      </c>
      <c r="K101" s="36" t="n">
        <f aca="false">INDEX('Cost by Tier'!$M$5:$M$124,MATCH($F101&amp;"|"&amp;$C101,'Cost by Tier'!$R$5:$R$124,0))</f>
        <v>12128.04</v>
      </c>
      <c r="L101" s="36" t="n">
        <f aca="false">INDEX('Cost by Tier'!$O$5:$O$124,MATCH($F101&amp;"|"&amp;$C101,'Cost by Tier'!$R$5:$R$124,0))</f>
        <v>2000</v>
      </c>
      <c r="M101" s="36" t="n">
        <f aca="false">INDEX('Cost by Tier'!$P$5:$P$124,MATCH($F101&amp;"|"&amp;$C101,'Cost by Tier'!$R$5:$R$124,0))</f>
        <v>9000</v>
      </c>
      <c r="N101" s="46" t="n">
        <f aca="false">INDEX('Cost by Tier'!$Q$5:$Q$124,MATCH($F101&amp;"|"&amp;$C101,'Cost by Tier'!$R$5:$R$124,0))</f>
        <v>21128.04</v>
      </c>
    </row>
    <row r="102" customFormat="false" ht="15" hidden="false" customHeight="false" outlineLevel="0" collapsed="false">
      <c r="A102" s="11" t="s">
        <v>55</v>
      </c>
      <c r="B102" s="11" t="s">
        <v>15</v>
      </c>
      <c r="C102" s="11" t="s">
        <v>16</v>
      </c>
      <c r="D102" s="11" t="s">
        <v>32</v>
      </c>
      <c r="E102" s="11" t="s">
        <v>135</v>
      </c>
      <c r="F102" s="11" t="s">
        <v>136</v>
      </c>
      <c r="G102" s="33" t="str">
        <f aca="false">INDEX('Cost by Tier'!$F$5:$F$124,MATCH($F102&amp;"|"&amp;$C102,'Cost by Tier'!$R$5:$R$124,0))</f>
        <v>N</v>
      </c>
      <c r="H102" s="34" t="n">
        <f aca="false">INDEX('Cost by Tier'!$G$5:$G$124,MATCH($F102&amp;"|"&amp;$C102,'Cost by Tier'!$R$5:$R$124,0))</f>
        <v>1601.49</v>
      </c>
      <c r="I102" s="34" t="n">
        <f aca="false">INDEX('Cost by Tier'!$J$5:$J$124,MATCH($F102&amp;"|"&amp;$C102,'Cost by Tier'!$R$5:$R$124,0))</f>
        <v>600</v>
      </c>
      <c r="J102" s="34" t="n">
        <f aca="false">INDEX('Cost by Tier'!$K$5:$K$124,MATCH($F102&amp;"|"&amp;$C102,'Cost by Tier'!$R$5:$R$124,0))</f>
        <v>1001.49</v>
      </c>
      <c r="K102" s="36" t="n">
        <f aca="false">INDEX('Cost by Tier'!$M$5:$M$124,MATCH($F102&amp;"|"&amp;$C102,'Cost by Tier'!$R$5:$R$124,0))</f>
        <v>12017.88</v>
      </c>
      <c r="L102" s="36" t="n">
        <f aca="false">INDEX('Cost by Tier'!$O$5:$O$124,MATCH($F102&amp;"|"&amp;$C102,'Cost by Tier'!$R$5:$R$124,0))</f>
        <v>3000</v>
      </c>
      <c r="M102" s="36" t="n">
        <f aca="false">INDEX('Cost by Tier'!$P$5:$P$124,MATCH($F102&amp;"|"&amp;$C102,'Cost by Tier'!$R$5:$R$124,0))</f>
        <v>10000</v>
      </c>
      <c r="N102" s="46" t="n">
        <f aca="false">INDEX('Cost by Tier'!$Q$5:$Q$124,MATCH($F102&amp;"|"&amp;$C102,'Cost by Tier'!$R$5:$R$124,0))</f>
        <v>22017.88</v>
      </c>
    </row>
    <row r="103" customFormat="false" ht="15" hidden="false" customHeight="false" outlineLevel="0" collapsed="false">
      <c r="A103" s="11" t="s">
        <v>55</v>
      </c>
      <c r="B103" s="11" t="s">
        <v>15</v>
      </c>
      <c r="C103" s="11" t="s">
        <v>16</v>
      </c>
      <c r="D103" s="11" t="s">
        <v>32</v>
      </c>
      <c r="E103" s="11" t="s">
        <v>139</v>
      </c>
      <c r="F103" s="11" t="s">
        <v>140</v>
      </c>
      <c r="G103" s="33" t="str">
        <f aca="false">INDEX('Cost by Tier'!$F$5:$F$124,MATCH($F103&amp;"|"&amp;$C103,'Cost by Tier'!$R$5:$R$124,0))</f>
        <v>Y</v>
      </c>
      <c r="H103" s="34" t="n">
        <f aca="false">INDEX('Cost by Tier'!$G$5:$G$124,MATCH($F103&amp;"|"&amp;$C103,'Cost by Tier'!$R$5:$R$124,0))</f>
        <v>941.49</v>
      </c>
      <c r="I103" s="34" t="n">
        <f aca="false">INDEX('Cost by Tier'!$J$5:$J$124,MATCH($F103&amp;"|"&amp;$C103,'Cost by Tier'!$R$5:$R$124,0))</f>
        <v>600</v>
      </c>
      <c r="J103" s="34" t="n">
        <f aca="false">INDEX('Cost by Tier'!$K$5:$K$124,MATCH($F103&amp;"|"&amp;$C103,'Cost by Tier'!$R$5:$R$124,0))</f>
        <v>341.49</v>
      </c>
      <c r="K103" s="36" t="n">
        <f aca="false">INDEX('Cost by Tier'!$M$5:$M$124,MATCH($F103&amp;"|"&amp;$C103,'Cost by Tier'!$R$5:$R$124,0))</f>
        <v>4097.88</v>
      </c>
      <c r="L103" s="36" t="n">
        <f aca="false">INDEX('Cost by Tier'!$O$5:$O$124,MATCH($F103&amp;"|"&amp;$C103,'Cost by Tier'!$R$5:$R$124,0))</f>
        <v>12000</v>
      </c>
      <c r="M103" s="36" t="n">
        <f aca="false">INDEX('Cost by Tier'!$P$5:$P$124,MATCH($F103&amp;"|"&amp;$C103,'Cost by Tier'!$R$5:$R$124,0))</f>
        <v>13000</v>
      </c>
      <c r="N103" s="46" t="n">
        <f aca="false">INDEX('Cost by Tier'!$Q$5:$Q$124,MATCH($F103&amp;"|"&amp;$C103,'Cost by Tier'!$R$5:$R$124,0))</f>
        <v>17097.88</v>
      </c>
    </row>
    <row r="104" customFormat="false" ht="15" hidden="false" customHeight="false" outlineLevel="0" collapsed="false">
      <c r="A104" s="11" t="s">
        <v>55</v>
      </c>
      <c r="B104" s="11" t="s">
        <v>15</v>
      </c>
      <c r="C104" s="11" t="s">
        <v>16</v>
      </c>
      <c r="D104" s="11" t="s">
        <v>32</v>
      </c>
      <c r="E104" s="11" t="s">
        <v>141</v>
      </c>
      <c r="F104" s="11" t="s">
        <v>142</v>
      </c>
      <c r="G104" s="33" t="str">
        <f aca="false">INDEX('Cost by Tier'!$F$5:$F$124,MATCH($F104&amp;"|"&amp;$C104,'Cost by Tier'!$R$5:$R$124,0))</f>
        <v>N</v>
      </c>
      <c r="H104" s="34" t="n">
        <f aca="false">INDEX('Cost by Tier'!$G$5:$G$124,MATCH($F104&amp;"|"&amp;$C104,'Cost by Tier'!$R$5:$R$124,0))</f>
        <v>1352.36</v>
      </c>
      <c r="I104" s="34" t="n">
        <f aca="false">INDEX('Cost by Tier'!$J$5:$J$124,MATCH($F104&amp;"|"&amp;$C104,'Cost by Tier'!$R$5:$R$124,0))</f>
        <v>600</v>
      </c>
      <c r="J104" s="34" t="n">
        <f aca="false">INDEX('Cost by Tier'!$K$5:$K$124,MATCH($F104&amp;"|"&amp;$C104,'Cost by Tier'!$R$5:$R$124,0))</f>
        <v>752.36</v>
      </c>
      <c r="K104" s="36" t="n">
        <f aca="false">INDEX('Cost by Tier'!$M$5:$M$124,MATCH($F104&amp;"|"&amp;$C104,'Cost by Tier'!$R$5:$R$124,0))</f>
        <v>9028.32</v>
      </c>
      <c r="L104" s="36" t="n">
        <f aca="false">INDEX('Cost by Tier'!$O$5:$O$124,MATCH($F104&amp;"|"&amp;$C104,'Cost by Tier'!$R$5:$R$124,0))</f>
        <v>6000</v>
      </c>
      <c r="M104" s="36" t="n">
        <f aca="false">INDEX('Cost by Tier'!$P$5:$P$124,MATCH($F104&amp;"|"&amp;$C104,'Cost by Tier'!$R$5:$R$124,0))</f>
        <v>14000</v>
      </c>
      <c r="N104" s="46" t="n">
        <f aca="false">INDEX('Cost by Tier'!$Q$5:$Q$124,MATCH($F104&amp;"|"&amp;$C104,'Cost by Tier'!$R$5:$R$124,0))</f>
        <v>23028.32</v>
      </c>
    </row>
    <row r="105" customFormat="false" ht="15" hidden="false" customHeight="false" outlineLevel="0" collapsed="false">
      <c r="A105" s="11" t="s">
        <v>55</v>
      </c>
      <c r="B105" s="11" t="s">
        <v>15</v>
      </c>
      <c r="C105" s="11" t="s">
        <v>16</v>
      </c>
      <c r="D105" s="11" t="s">
        <v>32</v>
      </c>
      <c r="E105" s="11" t="s">
        <v>33</v>
      </c>
      <c r="F105" s="11" t="s">
        <v>144</v>
      </c>
      <c r="G105" s="33" t="str">
        <f aca="false">INDEX('Cost by Tier'!$F$5:$F$124,MATCH($F105&amp;"|"&amp;$C105,'Cost by Tier'!$R$5:$R$124,0))</f>
        <v>N</v>
      </c>
      <c r="H105" s="34" t="n">
        <f aca="false">INDEX('Cost by Tier'!$G$5:$G$124,MATCH($F105&amp;"|"&amp;$C105,'Cost by Tier'!$R$5:$R$124,0))</f>
        <v>804.17</v>
      </c>
      <c r="I105" s="34" t="n">
        <f aca="false">INDEX('Cost by Tier'!$J$5:$J$124,MATCH($F105&amp;"|"&amp;$C105,'Cost by Tier'!$R$5:$R$124,0))</f>
        <v>600</v>
      </c>
      <c r="J105" s="34" t="n">
        <f aca="false">INDEX('Cost by Tier'!$K$5:$K$124,MATCH($F105&amp;"|"&amp;$C105,'Cost by Tier'!$R$5:$R$124,0))</f>
        <v>204.17</v>
      </c>
      <c r="K105" s="36" t="n">
        <f aca="false">INDEX('Cost by Tier'!$M$5:$M$124,MATCH($F105&amp;"|"&amp;$C105,'Cost by Tier'!$R$5:$R$124,0))</f>
        <v>2450.04</v>
      </c>
      <c r="L105" s="36" t="n">
        <f aca="false">INDEX('Cost by Tier'!$O$5:$O$124,MATCH($F105&amp;"|"&amp;$C105,'Cost by Tier'!$R$5:$R$124,0))</f>
        <v>16000</v>
      </c>
      <c r="M105" s="36" t="n">
        <f aca="false">INDEX('Cost by Tier'!$P$5:$P$124,MATCH($F105&amp;"|"&amp;$C105,'Cost by Tier'!$R$5:$R$124,0))</f>
        <v>20000</v>
      </c>
      <c r="N105" s="46" t="n">
        <f aca="false">INDEX('Cost by Tier'!$Q$5:$Q$124,MATCH($F105&amp;"|"&amp;$C105,'Cost by Tier'!$R$5:$R$124,0))</f>
        <v>22450.04</v>
      </c>
    </row>
    <row r="106" customFormat="false" ht="15" hidden="false" customHeight="false" outlineLevel="0" collapsed="false">
      <c r="A106" s="11" t="s">
        <v>55</v>
      </c>
      <c r="B106" s="11" t="s">
        <v>15</v>
      </c>
      <c r="C106" s="11" t="s">
        <v>16</v>
      </c>
      <c r="D106" s="11" t="s">
        <v>35</v>
      </c>
      <c r="E106" s="11" t="s">
        <v>36</v>
      </c>
      <c r="F106" s="11" t="s">
        <v>148</v>
      </c>
      <c r="G106" s="33" t="str">
        <f aca="false">INDEX('Cost by Tier'!$F$5:$F$124,MATCH($F106&amp;"|"&amp;$C106,'Cost by Tier'!$R$5:$R$124,0))</f>
        <v>N</v>
      </c>
      <c r="H106" s="34" t="n">
        <f aca="false">INDEX('Cost by Tier'!$G$5:$G$124,MATCH($F106&amp;"|"&amp;$C106,'Cost by Tier'!$R$5:$R$124,0))</f>
        <v>889</v>
      </c>
      <c r="I106" s="34" t="n">
        <f aca="false">INDEX('Cost by Tier'!$J$5:$J$124,MATCH($F106&amp;"|"&amp;$C106,'Cost by Tier'!$R$5:$R$124,0))</f>
        <v>600</v>
      </c>
      <c r="J106" s="34" t="n">
        <f aca="false">INDEX('Cost by Tier'!$K$5:$K$124,MATCH($F106&amp;"|"&amp;$C106,'Cost by Tier'!$R$5:$R$124,0))</f>
        <v>289</v>
      </c>
      <c r="K106" s="36" t="n">
        <f aca="false">INDEX('Cost by Tier'!$M$5:$M$124,MATCH($F106&amp;"|"&amp;$C106,'Cost by Tier'!$R$5:$R$124,0))</f>
        <v>3468</v>
      </c>
      <c r="L106" s="36" t="n">
        <f aca="false">INDEX('Cost by Tier'!$O$5:$O$124,MATCH($F106&amp;"|"&amp;$C106,'Cost by Tier'!$R$5:$R$124,0))</f>
        <v>13000</v>
      </c>
      <c r="M106" s="36" t="n">
        <f aca="false">INDEX('Cost by Tier'!$P$5:$P$124,MATCH($F106&amp;"|"&amp;$C106,'Cost by Tier'!$R$5:$R$124,0))</f>
        <v>15000</v>
      </c>
      <c r="N106" s="46" t="n">
        <f aca="false">INDEX('Cost by Tier'!$Q$5:$Q$124,MATCH($F106&amp;"|"&amp;$C106,'Cost by Tier'!$R$5:$R$124,0))</f>
        <v>18468</v>
      </c>
    </row>
    <row r="107" customFormat="false" ht="15" hidden="false" customHeight="false" outlineLevel="0" collapsed="false">
      <c r="A107" s="11" t="s">
        <v>55</v>
      </c>
      <c r="B107" s="11" t="s">
        <v>15</v>
      </c>
      <c r="C107" s="11" t="s">
        <v>16</v>
      </c>
      <c r="D107" s="11" t="s">
        <v>35</v>
      </c>
      <c r="E107" s="11" t="s">
        <v>153</v>
      </c>
      <c r="F107" s="11" t="s">
        <v>154</v>
      </c>
      <c r="G107" s="33" t="str">
        <f aca="false">INDEX('Cost by Tier'!$F$5:$F$124,MATCH($F107&amp;"|"&amp;$C107,'Cost by Tier'!$R$5:$R$124,0))</f>
        <v>N</v>
      </c>
      <c r="H107" s="34" t="n">
        <f aca="false">INDEX('Cost by Tier'!$G$5:$G$124,MATCH($F107&amp;"|"&amp;$C107,'Cost by Tier'!$R$5:$R$124,0))</f>
        <v>924</v>
      </c>
      <c r="I107" s="34" t="n">
        <f aca="false">INDEX('Cost by Tier'!$J$5:$J$124,MATCH($F107&amp;"|"&amp;$C107,'Cost by Tier'!$R$5:$R$124,0))</f>
        <v>600</v>
      </c>
      <c r="J107" s="34" t="n">
        <f aca="false">INDEX('Cost by Tier'!$K$5:$K$124,MATCH($F107&amp;"|"&amp;$C107,'Cost by Tier'!$R$5:$R$124,0))</f>
        <v>324</v>
      </c>
      <c r="K107" s="36" t="n">
        <f aca="false">INDEX('Cost by Tier'!$M$5:$M$124,MATCH($F107&amp;"|"&amp;$C107,'Cost by Tier'!$R$5:$R$124,0))</f>
        <v>3888</v>
      </c>
      <c r="L107" s="36" t="n">
        <f aca="false">INDEX('Cost by Tier'!$O$5:$O$124,MATCH($F107&amp;"|"&amp;$C107,'Cost by Tier'!$R$5:$R$124,0))</f>
        <v>14300</v>
      </c>
      <c r="M107" s="36" t="n">
        <f aca="false">INDEX('Cost by Tier'!$P$5:$P$124,MATCH($F107&amp;"|"&amp;$C107,'Cost by Tier'!$R$5:$R$124,0))</f>
        <v>15200</v>
      </c>
      <c r="N107" s="46" t="n">
        <f aca="false">INDEX('Cost by Tier'!$Q$5:$Q$124,MATCH($F107&amp;"|"&amp;$C107,'Cost by Tier'!$R$5:$R$124,0))</f>
        <v>19088</v>
      </c>
    </row>
    <row r="108" customFormat="false" ht="15" hidden="false" customHeight="false" outlineLevel="0" collapsed="false">
      <c r="A108" s="11" t="s">
        <v>55</v>
      </c>
      <c r="B108" s="11" t="s">
        <v>15</v>
      </c>
      <c r="C108" s="11" t="s">
        <v>16</v>
      </c>
      <c r="D108" s="11" t="s">
        <v>35</v>
      </c>
      <c r="E108" s="11" t="s">
        <v>159</v>
      </c>
      <c r="F108" s="11" t="s">
        <v>160</v>
      </c>
      <c r="G108" s="33" t="str">
        <f aca="false">INDEX('Cost by Tier'!$F$5:$F$124,MATCH($F108&amp;"|"&amp;$C108,'Cost by Tier'!$R$5:$R$124,0))</f>
        <v>Y</v>
      </c>
      <c r="H108" s="34" t="n">
        <f aca="false">INDEX('Cost by Tier'!$G$5:$G$124,MATCH($F108&amp;"|"&amp;$C108,'Cost by Tier'!$R$5:$R$124,0))</f>
        <v>947</v>
      </c>
      <c r="I108" s="34" t="n">
        <f aca="false">INDEX('Cost by Tier'!$J$5:$J$124,MATCH($F108&amp;"|"&amp;$C108,'Cost by Tier'!$R$5:$R$124,0))</f>
        <v>600</v>
      </c>
      <c r="J108" s="34" t="n">
        <f aca="false">INDEX('Cost by Tier'!$K$5:$K$124,MATCH($F108&amp;"|"&amp;$C108,'Cost by Tier'!$R$5:$R$124,0))</f>
        <v>347</v>
      </c>
      <c r="K108" s="36" t="n">
        <f aca="false">INDEX('Cost by Tier'!$M$5:$M$124,MATCH($F108&amp;"|"&amp;$C108,'Cost by Tier'!$R$5:$R$124,0))</f>
        <v>4164</v>
      </c>
      <c r="L108" s="36" t="n">
        <f aca="false">INDEX('Cost by Tier'!$O$5:$O$124,MATCH($F108&amp;"|"&amp;$C108,'Cost by Tier'!$R$5:$R$124,0))</f>
        <v>12700</v>
      </c>
      <c r="M108" s="36" t="n">
        <f aca="false">INDEX('Cost by Tier'!$P$5:$P$124,MATCH($F108&amp;"|"&amp;$C108,'Cost by Tier'!$R$5:$R$124,0))</f>
        <v>12700</v>
      </c>
      <c r="N108" s="46" t="n">
        <f aca="false">INDEX('Cost by Tier'!$Q$5:$Q$124,MATCH($F108&amp;"|"&amp;$C108,'Cost by Tier'!$R$5:$R$124,0))</f>
        <v>16864</v>
      </c>
    </row>
    <row r="109" customFormat="false" ht="15" hidden="false" customHeight="false" outlineLevel="0" collapsed="false">
      <c r="A109" s="11" t="s">
        <v>55</v>
      </c>
      <c r="B109" s="11" t="s">
        <v>15</v>
      </c>
      <c r="C109" s="11" t="s">
        <v>16</v>
      </c>
      <c r="D109" s="11" t="s">
        <v>35</v>
      </c>
      <c r="E109" s="11" t="s">
        <v>162</v>
      </c>
      <c r="F109" s="11" t="s">
        <v>163</v>
      </c>
      <c r="G109" s="33" t="str">
        <f aca="false">INDEX('Cost by Tier'!$F$5:$F$124,MATCH($F109&amp;"|"&amp;$C109,'Cost by Tier'!$R$5:$R$124,0))</f>
        <v>Y</v>
      </c>
      <c r="H109" s="34" t="n">
        <f aca="false">INDEX('Cost by Tier'!$G$5:$G$124,MATCH($F109&amp;"|"&amp;$C109,'Cost by Tier'!$R$5:$R$124,0))</f>
        <v>1140</v>
      </c>
      <c r="I109" s="34" t="n">
        <f aca="false">INDEX('Cost by Tier'!$J$5:$J$124,MATCH($F109&amp;"|"&amp;$C109,'Cost by Tier'!$R$5:$R$124,0))</f>
        <v>600</v>
      </c>
      <c r="J109" s="34" t="n">
        <f aca="false">INDEX('Cost by Tier'!$K$5:$K$124,MATCH($F109&amp;"|"&amp;$C109,'Cost by Tier'!$R$5:$R$124,0))</f>
        <v>540</v>
      </c>
      <c r="K109" s="36" t="n">
        <f aca="false">INDEX('Cost by Tier'!$M$5:$M$124,MATCH($F109&amp;"|"&amp;$C109,'Cost by Tier'!$R$5:$R$124,0))</f>
        <v>6480</v>
      </c>
      <c r="L109" s="36" t="n">
        <f aca="false">INDEX('Cost by Tier'!$O$5:$O$124,MATCH($F109&amp;"|"&amp;$C109,'Cost by Tier'!$R$5:$R$124,0))</f>
        <v>8000</v>
      </c>
      <c r="M109" s="36" t="n">
        <f aca="false">INDEX('Cost by Tier'!$P$5:$P$124,MATCH($F109&amp;"|"&amp;$C109,'Cost by Tier'!$R$5:$R$124,0))</f>
        <v>13700</v>
      </c>
      <c r="N109" s="46" t="n">
        <f aca="false">INDEX('Cost by Tier'!$Q$5:$Q$124,MATCH($F109&amp;"|"&amp;$C109,'Cost by Tier'!$R$5:$R$124,0))</f>
        <v>20180</v>
      </c>
    </row>
    <row r="110" customFormat="false" ht="15" hidden="false" customHeight="false" outlineLevel="0" collapsed="false">
      <c r="A110" s="11" t="s">
        <v>55</v>
      </c>
      <c r="B110" s="11" t="s">
        <v>15</v>
      </c>
      <c r="C110" s="11" t="s">
        <v>16</v>
      </c>
      <c r="D110" s="11" t="s">
        <v>35</v>
      </c>
      <c r="E110" s="11" t="s">
        <v>164</v>
      </c>
      <c r="F110" s="11" t="s">
        <v>165</v>
      </c>
      <c r="G110" s="33" t="str">
        <f aca="false">INDEX('Cost by Tier'!$F$5:$F$124,MATCH($F110&amp;"|"&amp;$C110,'Cost by Tier'!$R$5:$R$124,0))</f>
        <v>N</v>
      </c>
      <c r="H110" s="34" t="n">
        <f aca="false">INDEX('Cost by Tier'!$G$5:$G$124,MATCH($F110&amp;"|"&amp;$C110,'Cost by Tier'!$R$5:$R$124,0))</f>
        <v>1202</v>
      </c>
      <c r="I110" s="34" t="n">
        <f aca="false">INDEX('Cost by Tier'!$J$5:$J$124,MATCH($F110&amp;"|"&amp;$C110,'Cost by Tier'!$R$5:$R$124,0))</f>
        <v>600</v>
      </c>
      <c r="J110" s="34" t="n">
        <f aca="false">INDEX('Cost by Tier'!$K$5:$K$124,MATCH($F110&amp;"|"&amp;$C110,'Cost by Tier'!$R$5:$R$124,0))</f>
        <v>602</v>
      </c>
      <c r="K110" s="36" t="n">
        <f aca="false">INDEX('Cost by Tier'!$M$5:$M$124,MATCH($F110&amp;"|"&amp;$C110,'Cost by Tier'!$R$5:$R$124,0))</f>
        <v>7224</v>
      </c>
      <c r="L110" s="36" t="n">
        <f aca="false">INDEX('Cost by Tier'!$O$5:$O$124,MATCH($F110&amp;"|"&amp;$C110,'Cost by Tier'!$R$5:$R$124,0))</f>
        <v>5000</v>
      </c>
      <c r="M110" s="36" t="n">
        <f aca="false">INDEX('Cost by Tier'!$P$5:$P$124,MATCH($F110&amp;"|"&amp;$C110,'Cost by Tier'!$R$5:$R$124,0))</f>
        <v>15000</v>
      </c>
      <c r="N110" s="46" t="n">
        <f aca="false">INDEX('Cost by Tier'!$Q$5:$Q$124,MATCH($F110&amp;"|"&amp;$C110,'Cost by Tier'!$R$5:$R$124,0))</f>
        <v>22224</v>
      </c>
    </row>
    <row r="111" customFormat="false" ht="15" hidden="false" customHeight="false" outlineLevel="0" collapsed="false">
      <c r="A111" s="11" t="s">
        <v>55</v>
      </c>
      <c r="B111" s="11" t="s">
        <v>15</v>
      </c>
      <c r="C111" s="11" t="s">
        <v>16</v>
      </c>
      <c r="D111" s="11" t="s">
        <v>35</v>
      </c>
      <c r="E111" s="11" t="s">
        <v>166</v>
      </c>
      <c r="F111" s="11" t="s">
        <v>167</v>
      </c>
      <c r="G111" s="33" t="str">
        <f aca="false">INDEX('Cost by Tier'!$F$5:$F$124,MATCH($F111&amp;"|"&amp;$C111,'Cost by Tier'!$R$5:$R$124,0))</f>
        <v>N</v>
      </c>
      <c r="H111" s="34" t="n">
        <f aca="false">INDEX('Cost by Tier'!$G$5:$G$124,MATCH($F111&amp;"|"&amp;$C111,'Cost by Tier'!$R$5:$R$124,0))</f>
        <v>1223</v>
      </c>
      <c r="I111" s="34" t="n">
        <f aca="false">INDEX('Cost by Tier'!$J$5:$J$124,MATCH($F111&amp;"|"&amp;$C111,'Cost by Tier'!$R$5:$R$124,0))</f>
        <v>600</v>
      </c>
      <c r="J111" s="34" t="n">
        <f aca="false">INDEX('Cost by Tier'!$K$5:$K$124,MATCH($F111&amp;"|"&amp;$C111,'Cost by Tier'!$R$5:$R$124,0))</f>
        <v>623</v>
      </c>
      <c r="K111" s="36" t="n">
        <f aca="false">INDEX('Cost by Tier'!$M$5:$M$124,MATCH($F111&amp;"|"&amp;$C111,'Cost by Tier'!$R$5:$R$124,0))</f>
        <v>7476</v>
      </c>
      <c r="L111" s="36" t="n">
        <f aca="false">INDEX('Cost by Tier'!$O$5:$O$124,MATCH($F111&amp;"|"&amp;$C111,'Cost by Tier'!$R$5:$R$124,0))</f>
        <v>10000</v>
      </c>
      <c r="M111" s="36" t="n">
        <f aca="false">INDEX('Cost by Tier'!$P$5:$P$124,MATCH($F111&amp;"|"&amp;$C111,'Cost by Tier'!$R$5:$R$124,0))</f>
        <v>15200</v>
      </c>
      <c r="N111" s="46" t="n">
        <f aca="false">INDEX('Cost by Tier'!$Q$5:$Q$124,MATCH($F111&amp;"|"&amp;$C111,'Cost by Tier'!$R$5:$R$124,0))</f>
        <v>22676</v>
      </c>
    </row>
    <row r="112" customFormat="false" ht="15" hidden="false" customHeight="false" outlineLevel="0" collapsed="false">
      <c r="A112" s="11" t="s">
        <v>55</v>
      </c>
      <c r="B112" s="11" t="s">
        <v>15</v>
      </c>
      <c r="C112" s="11" t="s">
        <v>16</v>
      </c>
      <c r="D112" s="11" t="s">
        <v>35</v>
      </c>
      <c r="E112" s="11" t="s">
        <v>170</v>
      </c>
      <c r="F112" s="11" t="s">
        <v>171</v>
      </c>
      <c r="G112" s="33" t="str">
        <f aca="false">INDEX('Cost by Tier'!$F$5:$F$124,MATCH($F112&amp;"|"&amp;$C112,'Cost by Tier'!$R$5:$R$124,0))</f>
        <v>N</v>
      </c>
      <c r="H112" s="34" t="n">
        <f aca="false">INDEX('Cost by Tier'!$G$5:$G$124,MATCH($F112&amp;"|"&amp;$C112,'Cost by Tier'!$R$5:$R$124,0))</f>
        <v>1342</v>
      </c>
      <c r="I112" s="34" t="n">
        <f aca="false">INDEX('Cost by Tier'!$J$5:$J$124,MATCH($F112&amp;"|"&amp;$C112,'Cost by Tier'!$R$5:$R$124,0))</f>
        <v>600</v>
      </c>
      <c r="J112" s="34" t="n">
        <f aca="false">INDEX('Cost by Tier'!$K$5:$K$124,MATCH($F112&amp;"|"&amp;$C112,'Cost by Tier'!$R$5:$R$124,0))</f>
        <v>742</v>
      </c>
      <c r="K112" s="36" t="n">
        <f aca="false">INDEX('Cost by Tier'!$M$5:$M$124,MATCH($F112&amp;"|"&amp;$C112,'Cost by Tier'!$R$5:$R$124,0))</f>
        <v>8904</v>
      </c>
      <c r="L112" s="36" t="n">
        <f aca="false">INDEX('Cost by Tier'!$O$5:$O$124,MATCH($F112&amp;"|"&amp;$C112,'Cost by Tier'!$R$5:$R$124,0))</f>
        <v>4000</v>
      </c>
      <c r="M112" s="36" t="n">
        <f aca="false">INDEX('Cost by Tier'!$P$5:$P$124,MATCH($F112&amp;"|"&amp;$C112,'Cost by Tier'!$R$5:$R$124,0))</f>
        <v>13000</v>
      </c>
      <c r="N112" s="46" t="n">
        <f aca="false">INDEX('Cost by Tier'!$Q$5:$Q$124,MATCH($F112&amp;"|"&amp;$C112,'Cost by Tier'!$R$5:$R$124,0))</f>
        <v>21904</v>
      </c>
    </row>
    <row r="113" customFormat="false" ht="15" hidden="false" customHeight="false" outlineLevel="0" collapsed="false">
      <c r="A113" s="11" t="s">
        <v>55</v>
      </c>
      <c r="B113" s="11" t="s">
        <v>15</v>
      </c>
      <c r="C113" s="11" t="s">
        <v>16</v>
      </c>
      <c r="D113" s="11" t="s">
        <v>35</v>
      </c>
      <c r="E113" s="11" t="s">
        <v>175</v>
      </c>
      <c r="F113" s="11" t="s">
        <v>176</v>
      </c>
      <c r="G113" s="33" t="str">
        <f aca="false">INDEX('Cost by Tier'!$F$5:$F$124,MATCH($F113&amp;"|"&amp;$C113,'Cost by Tier'!$R$5:$R$124,0))</f>
        <v>N</v>
      </c>
      <c r="H113" s="34" t="n">
        <f aca="false">INDEX('Cost by Tier'!$G$5:$G$124,MATCH($F113&amp;"|"&amp;$C113,'Cost by Tier'!$R$5:$R$124,0))</f>
        <v>1382</v>
      </c>
      <c r="I113" s="34" t="n">
        <f aca="false">INDEX('Cost by Tier'!$J$5:$J$124,MATCH($F113&amp;"|"&amp;$C113,'Cost by Tier'!$R$5:$R$124,0))</f>
        <v>600</v>
      </c>
      <c r="J113" s="34" t="n">
        <f aca="false">INDEX('Cost by Tier'!$K$5:$K$124,MATCH($F113&amp;"|"&amp;$C113,'Cost by Tier'!$R$5:$R$124,0))</f>
        <v>782</v>
      </c>
      <c r="K113" s="36" t="n">
        <f aca="false">INDEX('Cost by Tier'!$M$5:$M$124,MATCH($F113&amp;"|"&amp;$C113,'Cost by Tier'!$R$5:$R$124,0))</f>
        <v>9384</v>
      </c>
      <c r="L113" s="36" t="n">
        <f aca="false">INDEX('Cost by Tier'!$O$5:$O$124,MATCH($F113&amp;"|"&amp;$C113,'Cost by Tier'!$R$5:$R$124,0))</f>
        <v>2000</v>
      </c>
      <c r="M113" s="36" t="n">
        <f aca="false">INDEX('Cost by Tier'!$P$5:$P$124,MATCH($F113&amp;"|"&amp;$C113,'Cost by Tier'!$R$5:$R$124,0))</f>
        <v>11000</v>
      </c>
      <c r="N113" s="46" t="n">
        <f aca="false">INDEX('Cost by Tier'!$Q$5:$Q$124,MATCH($F113&amp;"|"&amp;$C113,'Cost by Tier'!$R$5:$R$124,0))</f>
        <v>20384</v>
      </c>
    </row>
    <row r="114" customFormat="false" ht="15" hidden="false" customHeight="false" outlineLevel="0" collapsed="false">
      <c r="A114" s="11" t="s">
        <v>55</v>
      </c>
      <c r="B114" s="11" t="s">
        <v>15</v>
      </c>
      <c r="C114" s="11" t="s">
        <v>16</v>
      </c>
      <c r="D114" s="11" t="s">
        <v>35</v>
      </c>
      <c r="E114" s="11" t="s">
        <v>177</v>
      </c>
      <c r="F114" s="11" t="s">
        <v>178</v>
      </c>
      <c r="G114" s="33" t="str">
        <f aca="false">INDEX('Cost by Tier'!$F$5:$F$124,MATCH($F114&amp;"|"&amp;$C114,'Cost by Tier'!$R$5:$R$124,0))</f>
        <v>N</v>
      </c>
      <c r="H114" s="34" t="n">
        <f aca="false">INDEX('Cost by Tier'!$G$5:$G$124,MATCH($F114&amp;"|"&amp;$C114,'Cost by Tier'!$R$5:$R$124,0))</f>
        <v>1446</v>
      </c>
      <c r="I114" s="34" t="n">
        <f aca="false">INDEX('Cost by Tier'!$J$5:$J$124,MATCH($F114&amp;"|"&amp;$C114,'Cost by Tier'!$R$5:$R$124,0))</f>
        <v>600</v>
      </c>
      <c r="J114" s="34" t="n">
        <f aca="false">INDEX('Cost by Tier'!$K$5:$K$124,MATCH($F114&amp;"|"&amp;$C114,'Cost by Tier'!$R$5:$R$124,0))</f>
        <v>846</v>
      </c>
      <c r="K114" s="36" t="n">
        <f aca="false">INDEX('Cost by Tier'!$M$5:$M$124,MATCH($F114&amp;"|"&amp;$C114,'Cost by Tier'!$R$5:$R$124,0))</f>
        <v>10152</v>
      </c>
      <c r="L114" s="36" t="n">
        <f aca="false">INDEX('Cost by Tier'!$O$5:$O$124,MATCH($F114&amp;"|"&amp;$C114,'Cost by Tier'!$R$5:$R$124,0))</f>
        <v>6000</v>
      </c>
      <c r="M114" s="36" t="n">
        <f aca="false">INDEX('Cost by Tier'!$P$5:$P$124,MATCH($F114&amp;"|"&amp;$C114,'Cost by Tier'!$R$5:$R$124,0))</f>
        <v>12000</v>
      </c>
      <c r="N114" s="46" t="n">
        <f aca="false">INDEX('Cost by Tier'!$Q$5:$Q$124,MATCH($F114&amp;"|"&amp;$C114,'Cost by Tier'!$R$5:$R$124,0))</f>
        <v>22152</v>
      </c>
    </row>
    <row r="115" customFormat="false" ht="15" hidden="false" customHeight="false" outlineLevel="0" collapsed="false">
      <c r="A115" s="11" t="s">
        <v>55</v>
      </c>
      <c r="B115" s="11" t="s">
        <v>15</v>
      </c>
      <c r="C115" s="11" t="s">
        <v>16</v>
      </c>
      <c r="D115" s="11" t="s">
        <v>35</v>
      </c>
      <c r="E115" s="11" t="s">
        <v>179</v>
      </c>
      <c r="F115" s="11" t="s">
        <v>180</v>
      </c>
      <c r="G115" s="33" t="str">
        <f aca="false">INDEX('Cost by Tier'!$F$5:$F$124,MATCH($F115&amp;"|"&amp;$C115,'Cost by Tier'!$R$5:$R$124,0))</f>
        <v>N</v>
      </c>
      <c r="H115" s="34" t="n">
        <f aca="false">INDEX('Cost by Tier'!$G$5:$G$124,MATCH($F115&amp;"|"&amp;$C115,'Cost by Tier'!$R$5:$R$124,0))</f>
        <v>1460</v>
      </c>
      <c r="I115" s="34" t="n">
        <f aca="false">INDEX('Cost by Tier'!$J$5:$J$124,MATCH($F115&amp;"|"&amp;$C115,'Cost by Tier'!$R$5:$R$124,0))</f>
        <v>600</v>
      </c>
      <c r="J115" s="34" t="n">
        <f aca="false">INDEX('Cost by Tier'!$K$5:$K$124,MATCH($F115&amp;"|"&amp;$C115,'Cost by Tier'!$R$5:$R$124,0))</f>
        <v>860</v>
      </c>
      <c r="K115" s="36" t="n">
        <f aca="false">INDEX('Cost by Tier'!$M$5:$M$124,MATCH($F115&amp;"|"&amp;$C115,'Cost by Tier'!$R$5:$R$124,0))</f>
        <v>10320</v>
      </c>
      <c r="L115" s="36" t="n">
        <f aca="false">INDEX('Cost by Tier'!$O$5:$O$124,MATCH($F115&amp;"|"&amp;$C115,'Cost by Tier'!$R$5:$R$124,0))</f>
        <v>4000</v>
      </c>
      <c r="M115" s="36" t="n">
        <f aca="false">INDEX('Cost by Tier'!$P$5:$P$124,MATCH($F115&amp;"|"&amp;$C115,'Cost by Tier'!$R$5:$R$124,0))</f>
        <v>13700</v>
      </c>
      <c r="N115" s="46" t="n">
        <f aca="false">INDEX('Cost by Tier'!$Q$5:$Q$124,MATCH($F115&amp;"|"&amp;$C115,'Cost by Tier'!$R$5:$R$124,0))</f>
        <v>24020</v>
      </c>
    </row>
    <row r="116" customFormat="false" ht="15" hidden="false" customHeight="false" outlineLevel="0" collapsed="false">
      <c r="A116" s="11" t="s">
        <v>55</v>
      </c>
      <c r="B116" s="11" t="s">
        <v>15</v>
      </c>
      <c r="C116" s="11" t="s">
        <v>16</v>
      </c>
      <c r="D116" s="11" t="s">
        <v>35</v>
      </c>
      <c r="E116" s="11" t="s">
        <v>181</v>
      </c>
      <c r="F116" s="11" t="s">
        <v>182</v>
      </c>
      <c r="G116" s="33" t="str">
        <f aca="false">INDEX('Cost by Tier'!$F$5:$F$124,MATCH($F116&amp;"|"&amp;$C116,'Cost by Tier'!$R$5:$R$124,0))</f>
        <v>N</v>
      </c>
      <c r="H116" s="34" t="n">
        <f aca="false">INDEX('Cost by Tier'!$G$5:$G$124,MATCH($F116&amp;"|"&amp;$C116,'Cost by Tier'!$R$5:$R$124,0))</f>
        <v>1477</v>
      </c>
      <c r="I116" s="34" t="n">
        <f aca="false">INDEX('Cost by Tier'!$J$5:$J$124,MATCH($F116&amp;"|"&amp;$C116,'Cost by Tier'!$R$5:$R$124,0))</f>
        <v>600</v>
      </c>
      <c r="J116" s="34" t="n">
        <f aca="false">INDEX('Cost by Tier'!$K$5:$K$124,MATCH($F116&amp;"|"&amp;$C116,'Cost by Tier'!$R$5:$R$124,0))</f>
        <v>877</v>
      </c>
      <c r="K116" s="36" t="n">
        <f aca="false">INDEX('Cost by Tier'!$M$5:$M$124,MATCH($F116&amp;"|"&amp;$C116,'Cost by Tier'!$R$5:$R$124,0))</f>
        <v>10524</v>
      </c>
      <c r="L116" s="36" t="n">
        <f aca="false">INDEX('Cost by Tier'!$O$5:$O$124,MATCH($F116&amp;"|"&amp;$C116,'Cost by Tier'!$R$5:$R$124,0))</f>
        <v>2000</v>
      </c>
      <c r="M116" s="36" t="n">
        <f aca="false">INDEX('Cost by Tier'!$P$5:$P$124,MATCH($F116&amp;"|"&amp;$C116,'Cost by Tier'!$R$5:$R$124,0))</f>
        <v>10000</v>
      </c>
      <c r="N116" s="46" t="n">
        <f aca="false">INDEX('Cost by Tier'!$Q$5:$Q$124,MATCH($F116&amp;"|"&amp;$C116,'Cost by Tier'!$R$5:$R$124,0))</f>
        <v>20524</v>
      </c>
    </row>
    <row r="117" customFormat="false" ht="15" hidden="false" customHeight="false" outlineLevel="0" collapsed="false">
      <c r="A117" s="11" t="s">
        <v>55</v>
      </c>
      <c r="B117" s="11" t="s">
        <v>15</v>
      </c>
      <c r="C117" s="11" t="s">
        <v>16</v>
      </c>
      <c r="D117" s="11" t="s">
        <v>35</v>
      </c>
      <c r="E117" s="11" t="s">
        <v>183</v>
      </c>
      <c r="F117" s="11" t="s">
        <v>184</v>
      </c>
      <c r="G117" s="33" t="str">
        <f aca="false">INDEX('Cost by Tier'!$F$5:$F$124,MATCH($F117&amp;"|"&amp;$C117,'Cost by Tier'!$R$5:$R$124,0))</f>
        <v>N</v>
      </c>
      <c r="H117" s="34" t="n">
        <f aca="false">INDEX('Cost by Tier'!$G$5:$G$124,MATCH($F117&amp;"|"&amp;$C117,'Cost by Tier'!$R$5:$R$124,0))</f>
        <v>1548</v>
      </c>
      <c r="I117" s="34" t="n">
        <f aca="false">INDEX('Cost by Tier'!$J$5:$J$124,MATCH($F117&amp;"|"&amp;$C117,'Cost by Tier'!$R$5:$R$124,0))</f>
        <v>600</v>
      </c>
      <c r="J117" s="34" t="n">
        <f aca="false">INDEX('Cost by Tier'!$K$5:$K$124,MATCH($F117&amp;"|"&amp;$C117,'Cost by Tier'!$R$5:$R$124,0))</f>
        <v>948</v>
      </c>
      <c r="K117" s="36" t="n">
        <f aca="false">INDEX('Cost by Tier'!$M$5:$M$124,MATCH($F117&amp;"|"&amp;$C117,'Cost by Tier'!$R$5:$R$124,0))</f>
        <v>11376</v>
      </c>
      <c r="L117" s="36" t="n">
        <f aca="false">INDEX('Cost by Tier'!$O$5:$O$124,MATCH($F117&amp;"|"&amp;$C117,'Cost by Tier'!$R$5:$R$124,0))</f>
        <v>2000</v>
      </c>
      <c r="M117" s="36" t="n">
        <f aca="false">INDEX('Cost by Tier'!$P$5:$P$124,MATCH($F117&amp;"|"&amp;$C117,'Cost by Tier'!$R$5:$R$124,0))</f>
        <v>9000</v>
      </c>
      <c r="N117" s="46" t="n">
        <f aca="false">INDEX('Cost by Tier'!$Q$5:$Q$124,MATCH($F117&amp;"|"&amp;$C117,'Cost by Tier'!$R$5:$R$124,0))</f>
        <v>20376</v>
      </c>
    </row>
    <row r="118" customFormat="false" ht="15" hidden="false" customHeight="false" outlineLevel="0" collapsed="false">
      <c r="A118" s="11" t="s">
        <v>55</v>
      </c>
      <c r="B118" s="11" t="s">
        <v>15</v>
      </c>
      <c r="C118" s="11" t="s">
        <v>16</v>
      </c>
      <c r="D118" s="11" t="s">
        <v>35</v>
      </c>
      <c r="E118" s="11" t="s">
        <v>185</v>
      </c>
      <c r="F118" s="11" t="s">
        <v>186</v>
      </c>
      <c r="G118" s="33" t="str">
        <f aca="false">INDEX('Cost by Tier'!$F$5:$F$124,MATCH($F118&amp;"|"&amp;$C118,'Cost by Tier'!$R$5:$R$124,0))</f>
        <v>Y</v>
      </c>
      <c r="H118" s="34" t="n">
        <f aca="false">INDEX('Cost by Tier'!$G$5:$G$124,MATCH($F118&amp;"|"&amp;$C118,'Cost by Tier'!$R$5:$R$124,0))</f>
        <v>1363</v>
      </c>
      <c r="I118" s="34" t="n">
        <f aca="false">INDEX('Cost by Tier'!$J$5:$J$124,MATCH($F118&amp;"|"&amp;$C118,'Cost by Tier'!$R$5:$R$124,0))</f>
        <v>600</v>
      </c>
      <c r="J118" s="34" t="n">
        <f aca="false">INDEX('Cost by Tier'!$K$5:$K$124,MATCH($F118&amp;"|"&amp;$C118,'Cost by Tier'!$R$5:$R$124,0))</f>
        <v>763</v>
      </c>
      <c r="K118" s="36" t="n">
        <f aca="false">INDEX('Cost by Tier'!$M$5:$M$124,MATCH($F118&amp;"|"&amp;$C118,'Cost by Tier'!$R$5:$R$124,0))</f>
        <v>9156</v>
      </c>
      <c r="L118" s="36" t="n">
        <f aca="false">INDEX('Cost by Tier'!$O$5:$O$124,MATCH($F118&amp;"|"&amp;$C118,'Cost by Tier'!$R$5:$R$124,0))</f>
        <v>4000</v>
      </c>
      <c r="M118" s="36" t="n">
        <f aca="false">INDEX('Cost by Tier'!$P$5:$P$124,MATCH($F118&amp;"|"&amp;$C118,'Cost by Tier'!$R$5:$R$124,0))</f>
        <v>7000</v>
      </c>
      <c r="N118" s="46" t="n">
        <f aca="false">INDEX('Cost by Tier'!$Q$5:$Q$124,MATCH($F118&amp;"|"&amp;$C118,'Cost by Tier'!$R$5:$R$124,0))</f>
        <v>16156</v>
      </c>
    </row>
    <row r="119" customFormat="false" ht="15" hidden="false" customHeight="false" outlineLevel="0" collapsed="false">
      <c r="A119" s="11" t="s">
        <v>55</v>
      </c>
      <c r="B119" s="11" t="s">
        <v>15</v>
      </c>
      <c r="C119" s="11" t="s">
        <v>16</v>
      </c>
      <c r="D119" s="11" t="s">
        <v>35</v>
      </c>
      <c r="E119" s="11" t="s">
        <v>189</v>
      </c>
      <c r="F119" s="11" t="s">
        <v>190</v>
      </c>
      <c r="G119" s="33" t="str">
        <f aca="false">INDEX('Cost by Tier'!$F$5:$F$124,MATCH($F119&amp;"|"&amp;$C119,'Cost by Tier'!$R$5:$R$124,0))</f>
        <v>N</v>
      </c>
      <c r="H119" s="34" t="n">
        <f aca="false">INDEX('Cost by Tier'!$G$5:$G$124,MATCH($F119&amp;"|"&amp;$C119,'Cost by Tier'!$R$5:$R$124,0))</f>
        <v>1717</v>
      </c>
      <c r="I119" s="34" t="n">
        <f aca="false">INDEX('Cost by Tier'!$J$5:$J$124,MATCH($F119&amp;"|"&amp;$C119,'Cost by Tier'!$R$5:$R$124,0))</f>
        <v>600</v>
      </c>
      <c r="J119" s="34" t="n">
        <f aca="false">INDEX('Cost by Tier'!$K$5:$K$124,MATCH($F119&amp;"|"&amp;$C119,'Cost by Tier'!$R$5:$R$124,0))</f>
        <v>1117</v>
      </c>
      <c r="K119" s="36" t="n">
        <f aca="false">INDEX('Cost by Tier'!$M$5:$M$124,MATCH($F119&amp;"|"&amp;$C119,'Cost by Tier'!$R$5:$R$124,0))</f>
        <v>13404</v>
      </c>
      <c r="L119" s="36" t="n">
        <f aca="false">INDEX('Cost by Tier'!$O$5:$O$124,MATCH($F119&amp;"|"&amp;$C119,'Cost by Tier'!$R$5:$R$124,0))</f>
        <v>1500</v>
      </c>
      <c r="M119" s="36" t="n">
        <f aca="false">INDEX('Cost by Tier'!$P$5:$P$124,MATCH($F119&amp;"|"&amp;$C119,'Cost by Tier'!$R$5:$R$124,0))</f>
        <v>8000</v>
      </c>
      <c r="N119" s="46" t="n">
        <f aca="false">INDEX('Cost by Tier'!$Q$5:$Q$124,MATCH($F119&amp;"|"&amp;$C119,'Cost by Tier'!$R$5:$R$124,0))</f>
        <v>21404</v>
      </c>
    </row>
    <row r="120" customFormat="false" ht="15" hidden="false" customHeight="false" outlineLevel="0" collapsed="false">
      <c r="A120" s="11" t="s">
        <v>55</v>
      </c>
      <c r="B120" s="11" t="s">
        <v>15</v>
      </c>
      <c r="C120" s="11" t="s">
        <v>16</v>
      </c>
      <c r="D120" s="11" t="s">
        <v>35</v>
      </c>
      <c r="E120" s="11" t="s">
        <v>191</v>
      </c>
      <c r="F120" s="11" t="s">
        <v>192</v>
      </c>
      <c r="G120" s="33" t="str">
        <f aca="false">INDEX('Cost by Tier'!$F$5:$F$124,MATCH($F120&amp;"|"&amp;$C120,'Cost by Tier'!$R$5:$R$124,0))</f>
        <v>N</v>
      </c>
      <c r="H120" s="34" t="n">
        <f aca="false">INDEX('Cost by Tier'!$G$5:$G$124,MATCH($F120&amp;"|"&amp;$C120,'Cost by Tier'!$R$5:$R$124,0))</f>
        <v>1833</v>
      </c>
      <c r="I120" s="34" t="n">
        <f aca="false">INDEX('Cost by Tier'!$J$5:$J$124,MATCH($F120&amp;"|"&amp;$C120,'Cost by Tier'!$R$5:$R$124,0))</f>
        <v>600</v>
      </c>
      <c r="J120" s="34" t="n">
        <f aca="false">INDEX('Cost by Tier'!$K$5:$K$124,MATCH($F120&amp;"|"&amp;$C120,'Cost by Tier'!$R$5:$R$124,0))</f>
        <v>1233</v>
      </c>
      <c r="K120" s="36" t="n">
        <f aca="false">INDEX('Cost by Tier'!$M$5:$M$124,MATCH($F120&amp;"|"&amp;$C120,'Cost by Tier'!$R$5:$R$124,0))</f>
        <v>14796</v>
      </c>
      <c r="L120" s="36" t="n">
        <f aca="false">INDEX('Cost by Tier'!$O$5:$O$124,MATCH($F120&amp;"|"&amp;$C120,'Cost by Tier'!$R$5:$R$124,0))</f>
        <v>0</v>
      </c>
      <c r="M120" s="36" t="n">
        <f aca="false">INDEX('Cost by Tier'!$P$5:$P$124,MATCH($F120&amp;"|"&amp;$C120,'Cost by Tier'!$R$5:$R$124,0))</f>
        <v>6000</v>
      </c>
      <c r="N120" s="46" t="n">
        <f aca="false">INDEX('Cost by Tier'!$Q$5:$Q$124,MATCH($F120&amp;"|"&amp;$C120,'Cost by Tier'!$R$5:$R$124,0))</f>
        <v>20796</v>
      </c>
    </row>
    <row r="121" customFormat="false" ht="15" hidden="false" customHeight="false" outlineLevel="0" collapsed="false">
      <c r="A121" s="11" t="s">
        <v>55</v>
      </c>
      <c r="B121" s="11" t="s">
        <v>15</v>
      </c>
      <c r="C121" s="11" t="s">
        <v>16</v>
      </c>
      <c r="D121" s="11" t="s">
        <v>35</v>
      </c>
      <c r="E121" s="11" t="s">
        <v>194</v>
      </c>
      <c r="F121" s="11" t="s">
        <v>195</v>
      </c>
      <c r="G121" s="33" t="str">
        <f aca="false">INDEX('Cost by Tier'!$F$5:$F$124,MATCH($F121&amp;"|"&amp;$C121,'Cost by Tier'!$R$5:$R$124,0))</f>
        <v>N</v>
      </c>
      <c r="H121" s="34" t="n">
        <f aca="false">INDEX('Cost by Tier'!$G$5:$G$124,MATCH($F121&amp;"|"&amp;$C121,'Cost by Tier'!$R$5:$R$124,0))</f>
        <v>1993</v>
      </c>
      <c r="I121" s="34" t="n">
        <f aca="false">INDEX('Cost by Tier'!$J$5:$J$124,MATCH($F121&amp;"|"&amp;$C121,'Cost by Tier'!$R$5:$R$124,0))</f>
        <v>600</v>
      </c>
      <c r="J121" s="34" t="n">
        <f aca="false">INDEX('Cost by Tier'!$K$5:$K$124,MATCH($F121&amp;"|"&amp;$C121,'Cost by Tier'!$R$5:$R$124,0))</f>
        <v>1393</v>
      </c>
      <c r="K121" s="36" t="n">
        <f aca="false">INDEX('Cost by Tier'!$M$5:$M$124,MATCH($F121&amp;"|"&amp;$C121,'Cost by Tier'!$R$5:$R$124,0))</f>
        <v>16716</v>
      </c>
      <c r="L121" s="36" t="n">
        <f aca="false">INDEX('Cost by Tier'!$O$5:$O$124,MATCH($F121&amp;"|"&amp;$C121,'Cost by Tier'!$R$5:$R$124,0))</f>
        <v>600</v>
      </c>
      <c r="M121" s="36" t="n">
        <f aca="false">INDEX('Cost by Tier'!$P$5:$P$124,MATCH($F121&amp;"|"&amp;$C121,'Cost by Tier'!$R$5:$R$124,0))</f>
        <v>6000</v>
      </c>
      <c r="N121" s="46" t="n">
        <f aca="false">INDEX('Cost by Tier'!$Q$5:$Q$124,MATCH($F121&amp;"|"&amp;$C121,'Cost by Tier'!$R$5:$R$124,0))</f>
        <v>22716</v>
      </c>
    </row>
    <row r="122" customFormat="false" ht="15" hidden="false" customHeight="false" outlineLevel="0" collapsed="false">
      <c r="A122" s="11" t="s">
        <v>55</v>
      </c>
      <c r="B122" s="11" t="s">
        <v>15</v>
      </c>
      <c r="C122" s="11" t="s">
        <v>16</v>
      </c>
      <c r="D122" s="11" t="s">
        <v>38</v>
      </c>
      <c r="E122" s="11" t="s">
        <v>39</v>
      </c>
      <c r="F122" s="11" t="s">
        <v>196</v>
      </c>
      <c r="G122" s="33" t="str">
        <f aca="false">INDEX('Cost by Tier'!$F$5:$F$124,MATCH($F122&amp;"|"&amp;$C122,'Cost by Tier'!$R$5:$R$124,0))</f>
        <v>Y</v>
      </c>
      <c r="H122" s="34" t="n">
        <f aca="false">INDEX('Cost by Tier'!$G$5:$G$124,MATCH($F122&amp;"|"&amp;$C122,'Cost by Tier'!$R$5:$R$124,0))</f>
        <v>921.97</v>
      </c>
      <c r="I122" s="34" t="n">
        <f aca="false">INDEX('Cost by Tier'!$J$5:$J$124,MATCH($F122&amp;"|"&amp;$C122,'Cost by Tier'!$R$5:$R$124,0))</f>
        <v>600</v>
      </c>
      <c r="J122" s="34" t="n">
        <f aca="false">INDEX('Cost by Tier'!$K$5:$K$124,MATCH($F122&amp;"|"&amp;$C122,'Cost by Tier'!$R$5:$R$124,0))</f>
        <v>321.97</v>
      </c>
      <c r="K122" s="36" t="n">
        <f aca="false">INDEX('Cost by Tier'!$M$5:$M$124,MATCH($F122&amp;"|"&amp;$C122,'Cost by Tier'!$R$5:$R$124,0))</f>
        <v>3863.64</v>
      </c>
      <c r="L122" s="36" t="n">
        <f aca="false">INDEX('Cost by Tier'!$O$5:$O$124,MATCH($F122&amp;"|"&amp;$C122,'Cost by Tier'!$R$5:$R$124,0))</f>
        <v>6800</v>
      </c>
      <c r="M122" s="36" t="n">
        <f aca="false">INDEX('Cost by Tier'!$P$5:$P$124,MATCH($F122&amp;"|"&amp;$C122,'Cost by Tier'!$R$5:$R$124,0))</f>
        <v>10000</v>
      </c>
      <c r="N122" s="46" t="n">
        <f aca="false">INDEX('Cost by Tier'!$Q$5:$Q$124,MATCH($F122&amp;"|"&amp;$C122,'Cost by Tier'!$R$5:$R$124,0))</f>
        <v>13863.64</v>
      </c>
    </row>
    <row r="123" customFormat="false" ht="15" hidden="false" customHeight="false" outlineLevel="0" collapsed="false">
      <c r="A123" s="11" t="s">
        <v>55</v>
      </c>
      <c r="B123" s="11" t="s">
        <v>15</v>
      </c>
      <c r="C123" s="11" t="s">
        <v>16</v>
      </c>
      <c r="D123" s="11" t="s">
        <v>38</v>
      </c>
      <c r="E123" s="11" t="s">
        <v>199</v>
      </c>
      <c r="F123" s="11" t="s">
        <v>200</v>
      </c>
      <c r="G123" s="33" t="str">
        <f aca="false">INDEX('Cost by Tier'!$F$5:$F$124,MATCH($F123&amp;"|"&amp;$C123,'Cost by Tier'!$R$5:$R$124,0))</f>
        <v>N</v>
      </c>
      <c r="H123" s="34" t="n">
        <f aca="false">INDEX('Cost by Tier'!$G$5:$G$124,MATCH($F123&amp;"|"&amp;$C123,'Cost by Tier'!$R$5:$R$124,0))</f>
        <v>1033.43</v>
      </c>
      <c r="I123" s="34" t="n">
        <f aca="false">INDEX('Cost by Tier'!$J$5:$J$124,MATCH($F123&amp;"|"&amp;$C123,'Cost by Tier'!$R$5:$R$124,0))</f>
        <v>600</v>
      </c>
      <c r="J123" s="34" t="n">
        <f aca="false">INDEX('Cost by Tier'!$K$5:$K$124,MATCH($F123&amp;"|"&amp;$C123,'Cost by Tier'!$R$5:$R$124,0))</f>
        <v>433.43</v>
      </c>
      <c r="K123" s="36" t="n">
        <f aca="false">INDEX('Cost by Tier'!$M$5:$M$124,MATCH($F123&amp;"|"&amp;$C123,'Cost by Tier'!$R$5:$R$124,0))</f>
        <v>5201.16</v>
      </c>
      <c r="L123" s="36" t="n">
        <f aca="false">INDEX('Cost by Tier'!$O$5:$O$124,MATCH($F123&amp;"|"&amp;$C123,'Cost by Tier'!$R$5:$R$124,0))</f>
        <v>4000</v>
      </c>
      <c r="M123" s="36" t="n">
        <f aca="false">INDEX('Cost by Tier'!$P$5:$P$124,MATCH($F123&amp;"|"&amp;$C123,'Cost by Tier'!$R$5:$R$124,0))</f>
        <v>8000</v>
      </c>
      <c r="N123" s="46" t="n">
        <f aca="false">INDEX('Cost by Tier'!$Q$5:$Q$124,MATCH($F123&amp;"|"&amp;$C123,'Cost by Tier'!$R$5:$R$124,0))</f>
        <v>13201.16</v>
      </c>
    </row>
    <row r="124" customFormat="false" ht="15" hidden="false" customHeight="false" outlineLevel="0" collapsed="false">
      <c r="A124" s="11" t="s">
        <v>55</v>
      </c>
      <c r="B124" s="11" t="s">
        <v>15</v>
      </c>
      <c r="C124" s="11" t="s">
        <v>16</v>
      </c>
      <c r="D124" s="11" t="s">
        <v>38</v>
      </c>
      <c r="E124" s="11" t="s">
        <v>203</v>
      </c>
      <c r="F124" s="11" t="s">
        <v>204</v>
      </c>
      <c r="G124" s="33" t="str">
        <f aca="false">INDEX('Cost by Tier'!$F$5:$F$124,MATCH($F124&amp;"|"&amp;$C124,'Cost by Tier'!$R$5:$R$124,0))</f>
        <v>N</v>
      </c>
      <c r="H124" s="34" t="n">
        <f aca="false">INDEX('Cost by Tier'!$G$5:$G$124,MATCH($F124&amp;"|"&amp;$C124,'Cost by Tier'!$R$5:$R$124,0))</f>
        <v>1147.29</v>
      </c>
      <c r="I124" s="34" t="n">
        <f aca="false">INDEX('Cost by Tier'!$J$5:$J$124,MATCH($F124&amp;"|"&amp;$C124,'Cost by Tier'!$R$5:$R$124,0))</f>
        <v>600</v>
      </c>
      <c r="J124" s="34" t="n">
        <f aca="false">INDEX('Cost by Tier'!$K$5:$K$124,MATCH($F124&amp;"|"&amp;$C124,'Cost by Tier'!$R$5:$R$124,0))</f>
        <v>547.29</v>
      </c>
      <c r="K124" s="36" t="n">
        <f aca="false">INDEX('Cost by Tier'!$M$5:$M$124,MATCH($F124&amp;"|"&amp;$C124,'Cost by Tier'!$R$5:$R$124,0))</f>
        <v>6567.48</v>
      </c>
      <c r="L124" s="36" t="n">
        <f aca="false">INDEX('Cost by Tier'!$O$5:$O$124,MATCH($F124&amp;"|"&amp;$C124,'Cost by Tier'!$R$5:$R$124,0))</f>
        <v>2000</v>
      </c>
      <c r="M124" s="36" t="n">
        <f aca="false">INDEX('Cost by Tier'!$P$5:$P$124,MATCH($F124&amp;"|"&amp;$C124,'Cost by Tier'!$R$5:$R$124,0))</f>
        <v>4000</v>
      </c>
      <c r="N124" s="46" t="n">
        <f aca="false">INDEX('Cost by Tier'!$Q$5:$Q$124,MATCH($F124&amp;"|"&amp;$C124,'Cost by Tier'!$R$5:$R$124,0))</f>
        <v>10567.48</v>
      </c>
    </row>
    <row r="125" customFormat="false" ht="15" hidden="false" customHeight="false" outlineLevel="0" collapsed="false">
      <c r="A125" s="38" t="s">
        <v>241</v>
      </c>
      <c r="B125" s="38" t="s">
        <v>21</v>
      </c>
      <c r="C125" s="38" t="s">
        <v>22</v>
      </c>
      <c r="D125" s="38" t="s">
        <v>32</v>
      </c>
      <c r="E125" s="38" t="s">
        <v>105</v>
      </c>
      <c r="F125" s="38" t="s">
        <v>106</v>
      </c>
      <c r="G125" s="39" t="str">
        <f aca="false">INDEX('Cost by Tier'!$F$5:$F$124,MATCH($F125&amp;"|"&amp;$C125,'Cost by Tier'!$R$5:$R$124,0))</f>
        <v>Y</v>
      </c>
      <c r="H125" s="40" t="n">
        <f aca="false">INDEX('Cost by Tier'!$G$5:$G$124,MATCH($F125&amp;"|"&amp;$C125,'Cost by Tier'!$R$5:$R$124,0))</f>
        <v>1986.04</v>
      </c>
      <c r="I125" s="40" t="n">
        <f aca="false">INDEX('Cost by Tier'!$J$5:$J$124,MATCH($F125&amp;"|"&amp;$C125,'Cost by Tier'!$R$5:$R$124,0))</f>
        <v>1000</v>
      </c>
      <c r="J125" s="40" t="n">
        <f aca="false">INDEX('Cost by Tier'!$K$5:$K$124,MATCH($F125&amp;"|"&amp;$C125,'Cost by Tier'!$R$5:$R$124,0))</f>
        <v>986.04</v>
      </c>
      <c r="K125" s="44" t="n">
        <f aca="false">INDEX('Cost by Tier'!$M$5:$M$124,MATCH($F125&amp;"|"&amp;$C125,'Cost by Tier'!$R$5:$R$124,0))</f>
        <v>11832.48</v>
      </c>
      <c r="L125" s="44" t="n">
        <f aca="false">INDEX('Cost by Tier'!$O$5:$O$124,MATCH($F125&amp;"|"&amp;$C125,'Cost by Tier'!$R$5:$R$124,0))</f>
        <v>4000</v>
      </c>
      <c r="M125" s="44" t="n">
        <f aca="false">INDEX('Cost by Tier'!$P$5:$P$124,MATCH($F125&amp;"|"&amp;$C125,'Cost by Tier'!$R$5:$R$124,0))</f>
        <v>7000</v>
      </c>
      <c r="N125" s="47" t="n">
        <f aca="false">INDEX('Cost by Tier'!$Q$5:$Q$124,MATCH($F125&amp;"|"&amp;$C125,'Cost by Tier'!$R$5:$R$124,0))</f>
        <v>18832.48</v>
      </c>
    </row>
    <row r="126" customFormat="false" ht="15" hidden="false" customHeight="false" outlineLevel="0" collapsed="false">
      <c r="A126" s="38" t="s">
        <v>241</v>
      </c>
      <c r="B126" s="38" t="s">
        <v>21</v>
      </c>
      <c r="C126" s="38" t="s">
        <v>22</v>
      </c>
      <c r="D126" s="38" t="s">
        <v>32</v>
      </c>
      <c r="E126" s="38" t="s">
        <v>113</v>
      </c>
      <c r="F126" s="38" t="s">
        <v>114</v>
      </c>
      <c r="G126" s="39" t="str">
        <f aca="false">INDEX('Cost by Tier'!$F$5:$F$124,MATCH($F126&amp;"|"&amp;$C126,'Cost by Tier'!$R$5:$R$124,0))</f>
        <v>Y</v>
      </c>
      <c r="H126" s="40" t="n">
        <f aca="false">INDEX('Cost by Tier'!$G$5:$G$124,MATCH($F126&amp;"|"&amp;$C126,'Cost by Tier'!$R$5:$R$124,0))</f>
        <v>1881.29</v>
      </c>
      <c r="I126" s="40" t="n">
        <f aca="false">INDEX('Cost by Tier'!$J$5:$J$124,MATCH($F126&amp;"|"&amp;$C126,'Cost by Tier'!$R$5:$R$124,0))</f>
        <v>1000</v>
      </c>
      <c r="J126" s="40" t="n">
        <f aca="false">INDEX('Cost by Tier'!$K$5:$K$124,MATCH($F126&amp;"|"&amp;$C126,'Cost by Tier'!$R$5:$R$124,0))</f>
        <v>881.29</v>
      </c>
      <c r="K126" s="44" t="n">
        <f aca="false">INDEX('Cost by Tier'!$M$5:$M$124,MATCH($F126&amp;"|"&amp;$C126,'Cost by Tier'!$R$5:$R$124,0))</f>
        <v>10575.48</v>
      </c>
      <c r="L126" s="44" t="n">
        <f aca="false">INDEX('Cost by Tier'!$O$5:$O$124,MATCH($F126&amp;"|"&amp;$C126,'Cost by Tier'!$R$5:$R$124,0))</f>
        <v>5000</v>
      </c>
      <c r="M126" s="44" t="n">
        <f aca="false">INDEX('Cost by Tier'!$P$5:$P$124,MATCH($F126&amp;"|"&amp;$C126,'Cost by Tier'!$R$5:$R$124,0))</f>
        <v>7000</v>
      </c>
      <c r="N126" s="47" t="n">
        <f aca="false">INDEX('Cost by Tier'!$Q$5:$Q$124,MATCH($F126&amp;"|"&amp;$C126,'Cost by Tier'!$R$5:$R$124,0))</f>
        <v>17575.48</v>
      </c>
    </row>
    <row r="127" customFormat="false" ht="15" hidden="false" customHeight="false" outlineLevel="0" collapsed="false">
      <c r="A127" s="38" t="s">
        <v>241</v>
      </c>
      <c r="B127" s="38" t="s">
        <v>21</v>
      </c>
      <c r="C127" s="38" t="s">
        <v>22</v>
      </c>
      <c r="D127" s="38" t="s">
        <v>32</v>
      </c>
      <c r="E127" s="38" t="s">
        <v>115</v>
      </c>
      <c r="F127" s="38" t="s">
        <v>116</v>
      </c>
      <c r="G127" s="39" t="str">
        <f aca="false">INDEX('Cost by Tier'!$F$5:$F$124,MATCH($F127&amp;"|"&amp;$C127,'Cost by Tier'!$R$5:$R$124,0))</f>
        <v>N</v>
      </c>
      <c r="H127" s="40" t="n">
        <f aca="false">INDEX('Cost by Tier'!$G$5:$G$124,MATCH($F127&amp;"|"&amp;$C127,'Cost by Tier'!$R$5:$R$124,0))</f>
        <v>2737.01</v>
      </c>
      <c r="I127" s="40" t="n">
        <f aca="false">INDEX('Cost by Tier'!$J$5:$J$124,MATCH($F127&amp;"|"&amp;$C127,'Cost by Tier'!$R$5:$R$124,0))</f>
        <v>1000</v>
      </c>
      <c r="J127" s="40" t="n">
        <f aca="false">INDEX('Cost by Tier'!$K$5:$K$124,MATCH($F127&amp;"|"&amp;$C127,'Cost by Tier'!$R$5:$R$124,0))</f>
        <v>1737.01</v>
      </c>
      <c r="K127" s="44" t="n">
        <f aca="false">INDEX('Cost by Tier'!$M$5:$M$124,MATCH($F127&amp;"|"&amp;$C127,'Cost by Tier'!$R$5:$R$124,0))</f>
        <v>20844.12</v>
      </c>
      <c r="L127" s="44" t="n">
        <f aca="false">INDEX('Cost by Tier'!$O$5:$O$124,MATCH($F127&amp;"|"&amp;$C127,'Cost by Tier'!$R$5:$R$124,0))</f>
        <v>1000</v>
      </c>
      <c r="M127" s="44" t="n">
        <f aca="false">INDEX('Cost by Tier'!$P$5:$P$124,MATCH($F127&amp;"|"&amp;$C127,'Cost by Tier'!$R$5:$R$124,0))</f>
        <v>7000</v>
      </c>
      <c r="N127" s="47" t="n">
        <f aca="false">INDEX('Cost by Tier'!$Q$5:$Q$124,MATCH($F127&amp;"|"&amp;$C127,'Cost by Tier'!$R$5:$R$124,0))</f>
        <v>27844.12</v>
      </c>
    </row>
    <row r="128" customFormat="false" ht="15" hidden="false" customHeight="false" outlineLevel="0" collapsed="false">
      <c r="A128" s="38" t="s">
        <v>241</v>
      </c>
      <c r="B128" s="38" t="s">
        <v>21</v>
      </c>
      <c r="C128" s="38" t="s">
        <v>22</v>
      </c>
      <c r="D128" s="38" t="s">
        <v>32</v>
      </c>
      <c r="E128" s="38" t="s">
        <v>123</v>
      </c>
      <c r="F128" s="38" t="s">
        <v>124</v>
      </c>
      <c r="G128" s="39" t="str">
        <f aca="false">INDEX('Cost by Tier'!$F$5:$F$124,MATCH($F128&amp;"|"&amp;$C128,'Cost by Tier'!$R$5:$R$124,0))</f>
        <v>N</v>
      </c>
      <c r="H128" s="40" t="n">
        <f aca="false">INDEX('Cost by Tier'!$G$5:$G$124,MATCH($F128&amp;"|"&amp;$C128,'Cost by Tier'!$R$5:$R$124,0))</f>
        <v>2381.46</v>
      </c>
      <c r="I128" s="40" t="n">
        <f aca="false">INDEX('Cost by Tier'!$J$5:$J$124,MATCH($F128&amp;"|"&amp;$C128,'Cost by Tier'!$R$5:$R$124,0))</f>
        <v>1000</v>
      </c>
      <c r="J128" s="40" t="n">
        <f aca="false">INDEX('Cost by Tier'!$K$5:$K$124,MATCH($F128&amp;"|"&amp;$C128,'Cost by Tier'!$R$5:$R$124,0))</f>
        <v>1381.46</v>
      </c>
      <c r="K128" s="44" t="n">
        <f aca="false">INDEX('Cost by Tier'!$M$5:$M$124,MATCH($F128&amp;"|"&amp;$C128,'Cost by Tier'!$R$5:$R$124,0))</f>
        <v>16577.52</v>
      </c>
      <c r="L128" s="44" t="n">
        <f aca="false">INDEX('Cost by Tier'!$O$5:$O$124,MATCH($F128&amp;"|"&amp;$C128,'Cost by Tier'!$R$5:$R$124,0))</f>
        <v>2000</v>
      </c>
      <c r="M128" s="44" t="n">
        <f aca="false">INDEX('Cost by Tier'!$P$5:$P$124,MATCH($F128&amp;"|"&amp;$C128,'Cost by Tier'!$R$5:$R$124,0))</f>
        <v>9000</v>
      </c>
      <c r="N128" s="47" t="n">
        <f aca="false">INDEX('Cost by Tier'!$Q$5:$Q$124,MATCH($F128&amp;"|"&amp;$C128,'Cost by Tier'!$R$5:$R$124,0))</f>
        <v>25577.52</v>
      </c>
    </row>
    <row r="129" customFormat="false" ht="15" hidden="false" customHeight="false" outlineLevel="0" collapsed="false">
      <c r="A129" s="38" t="s">
        <v>241</v>
      </c>
      <c r="B129" s="38" t="s">
        <v>21</v>
      </c>
      <c r="C129" s="38" t="s">
        <v>22</v>
      </c>
      <c r="D129" s="38" t="s">
        <v>32</v>
      </c>
      <c r="E129" s="38" t="s">
        <v>126</v>
      </c>
      <c r="F129" s="38" t="s">
        <v>127</v>
      </c>
      <c r="G129" s="39" t="str">
        <f aca="false">INDEX('Cost by Tier'!$F$5:$F$124,MATCH($F129&amp;"|"&amp;$C129,'Cost by Tier'!$R$5:$R$124,0))</f>
        <v>Y</v>
      </c>
      <c r="H129" s="40" t="n">
        <f aca="false">INDEX('Cost by Tier'!$G$5:$G$124,MATCH($F129&amp;"|"&amp;$C129,'Cost by Tier'!$R$5:$R$124,0))</f>
        <v>1519.36</v>
      </c>
      <c r="I129" s="40" t="n">
        <f aca="false">INDEX('Cost by Tier'!$J$5:$J$124,MATCH($F129&amp;"|"&amp;$C129,'Cost by Tier'!$R$5:$R$124,0))</f>
        <v>1000</v>
      </c>
      <c r="J129" s="40" t="n">
        <f aca="false">INDEX('Cost by Tier'!$K$5:$K$124,MATCH($F129&amp;"|"&amp;$C129,'Cost by Tier'!$R$5:$R$124,0))</f>
        <v>519.36</v>
      </c>
      <c r="K129" s="44" t="n">
        <f aca="false">INDEX('Cost by Tier'!$M$5:$M$124,MATCH($F129&amp;"|"&amp;$C129,'Cost by Tier'!$R$5:$R$124,0))</f>
        <v>6232.32</v>
      </c>
      <c r="L129" s="44" t="n">
        <f aca="false">INDEX('Cost by Tier'!$O$5:$O$124,MATCH($F129&amp;"|"&amp;$C129,'Cost by Tier'!$R$5:$R$124,0))</f>
        <v>7000</v>
      </c>
      <c r="M129" s="44" t="n">
        <f aca="false">INDEX('Cost by Tier'!$P$5:$P$124,MATCH($F129&amp;"|"&amp;$C129,'Cost by Tier'!$R$5:$R$124,0))</f>
        <v>12700</v>
      </c>
      <c r="N129" s="47" t="n">
        <f aca="false">INDEX('Cost by Tier'!$Q$5:$Q$124,MATCH($F129&amp;"|"&amp;$C129,'Cost by Tier'!$R$5:$R$124,0))</f>
        <v>18932.32</v>
      </c>
    </row>
    <row r="130" customFormat="false" ht="15" hidden="false" customHeight="false" outlineLevel="0" collapsed="false">
      <c r="A130" s="38" t="s">
        <v>241</v>
      </c>
      <c r="B130" s="38" t="s">
        <v>21</v>
      </c>
      <c r="C130" s="38" t="s">
        <v>22</v>
      </c>
      <c r="D130" s="38" t="s">
        <v>32</v>
      </c>
      <c r="E130" s="38" t="s">
        <v>131</v>
      </c>
      <c r="F130" s="38" t="s">
        <v>132</v>
      </c>
      <c r="G130" s="39" t="str">
        <f aca="false">INDEX('Cost by Tier'!$F$5:$F$124,MATCH($F130&amp;"|"&amp;$C130,'Cost by Tier'!$R$5:$R$124,0))</f>
        <v>N</v>
      </c>
      <c r="H130" s="40" t="n">
        <f aca="false">INDEX('Cost by Tier'!$G$5:$G$124,MATCH($F130&amp;"|"&amp;$C130,'Cost by Tier'!$R$5:$R$124,0))</f>
        <v>2558.21</v>
      </c>
      <c r="I130" s="40" t="n">
        <f aca="false">INDEX('Cost by Tier'!$J$5:$J$124,MATCH($F130&amp;"|"&amp;$C130,'Cost by Tier'!$R$5:$R$124,0))</f>
        <v>1000</v>
      </c>
      <c r="J130" s="40" t="n">
        <f aca="false">INDEX('Cost by Tier'!$K$5:$K$124,MATCH($F130&amp;"|"&amp;$C130,'Cost by Tier'!$R$5:$R$124,0))</f>
        <v>1558.21</v>
      </c>
      <c r="K130" s="44" t="n">
        <f aca="false">INDEX('Cost by Tier'!$M$5:$M$124,MATCH($F130&amp;"|"&amp;$C130,'Cost by Tier'!$R$5:$R$124,0))</f>
        <v>18698.52</v>
      </c>
      <c r="L130" s="44" t="n">
        <f aca="false">INDEX('Cost by Tier'!$O$5:$O$124,MATCH($F130&amp;"|"&amp;$C130,'Cost by Tier'!$R$5:$R$124,0))</f>
        <v>1000</v>
      </c>
      <c r="M130" s="44" t="n">
        <f aca="false">INDEX('Cost by Tier'!$P$5:$P$124,MATCH($F130&amp;"|"&amp;$C130,'Cost by Tier'!$R$5:$R$124,0))</f>
        <v>7000</v>
      </c>
      <c r="N130" s="47" t="n">
        <f aca="false">INDEX('Cost by Tier'!$Q$5:$Q$124,MATCH($F130&amp;"|"&amp;$C130,'Cost by Tier'!$R$5:$R$124,0))</f>
        <v>25698.52</v>
      </c>
    </row>
    <row r="131" customFormat="false" ht="15" hidden="false" customHeight="false" outlineLevel="0" collapsed="false">
      <c r="A131" s="38" t="s">
        <v>241</v>
      </c>
      <c r="B131" s="38" t="s">
        <v>21</v>
      </c>
      <c r="C131" s="38" t="s">
        <v>22</v>
      </c>
      <c r="D131" s="38" t="s">
        <v>32</v>
      </c>
      <c r="E131" s="38" t="s">
        <v>133</v>
      </c>
      <c r="F131" s="38" t="s">
        <v>134</v>
      </c>
      <c r="G131" s="39" t="str">
        <f aca="false">INDEX('Cost by Tier'!$F$5:$F$124,MATCH($F131&amp;"|"&amp;$C131,'Cost by Tier'!$R$5:$R$124,0))</f>
        <v>N</v>
      </c>
      <c r="H131" s="40" t="n">
        <f aca="false">INDEX('Cost by Tier'!$G$5:$G$124,MATCH($F131&amp;"|"&amp;$C131,'Cost by Tier'!$R$5:$R$124,0))</f>
        <v>2322.36</v>
      </c>
      <c r="I131" s="40" t="n">
        <f aca="false">INDEX('Cost by Tier'!$J$5:$J$124,MATCH($F131&amp;"|"&amp;$C131,'Cost by Tier'!$R$5:$R$124,0))</f>
        <v>1000</v>
      </c>
      <c r="J131" s="40" t="n">
        <f aca="false">INDEX('Cost by Tier'!$K$5:$K$124,MATCH($F131&amp;"|"&amp;$C131,'Cost by Tier'!$R$5:$R$124,0))</f>
        <v>1322.36</v>
      </c>
      <c r="K131" s="44" t="n">
        <f aca="false">INDEX('Cost by Tier'!$M$5:$M$124,MATCH($F131&amp;"|"&amp;$C131,'Cost by Tier'!$R$5:$R$124,0))</f>
        <v>15868.32</v>
      </c>
      <c r="L131" s="44" t="n">
        <f aca="false">INDEX('Cost by Tier'!$O$5:$O$124,MATCH($F131&amp;"|"&amp;$C131,'Cost by Tier'!$R$5:$R$124,0))</f>
        <v>2000</v>
      </c>
      <c r="M131" s="44" t="n">
        <f aca="false">INDEX('Cost by Tier'!$P$5:$P$124,MATCH($F131&amp;"|"&amp;$C131,'Cost by Tier'!$R$5:$R$124,0))</f>
        <v>9000</v>
      </c>
      <c r="N131" s="47" t="n">
        <f aca="false">INDEX('Cost by Tier'!$Q$5:$Q$124,MATCH($F131&amp;"|"&amp;$C131,'Cost by Tier'!$R$5:$R$124,0))</f>
        <v>24868.32</v>
      </c>
    </row>
    <row r="132" customFormat="false" ht="15" hidden="false" customHeight="false" outlineLevel="0" collapsed="false">
      <c r="A132" s="38" t="s">
        <v>241</v>
      </c>
      <c r="B132" s="38" t="s">
        <v>21</v>
      </c>
      <c r="C132" s="38" t="s">
        <v>22</v>
      </c>
      <c r="D132" s="38" t="s">
        <v>32</v>
      </c>
      <c r="E132" s="38" t="s">
        <v>135</v>
      </c>
      <c r="F132" s="38" t="s">
        <v>136</v>
      </c>
      <c r="G132" s="39" t="str">
        <f aca="false">INDEX('Cost by Tier'!$F$5:$F$124,MATCH($F132&amp;"|"&amp;$C132,'Cost by Tier'!$R$5:$R$124,0))</f>
        <v>N</v>
      </c>
      <c r="H132" s="40" t="n">
        <f aca="false">INDEX('Cost by Tier'!$G$5:$G$124,MATCH($F132&amp;"|"&amp;$C132,'Cost by Tier'!$R$5:$R$124,0))</f>
        <v>2309.12</v>
      </c>
      <c r="I132" s="40" t="n">
        <f aca="false">INDEX('Cost by Tier'!$J$5:$J$124,MATCH($F132&amp;"|"&amp;$C132,'Cost by Tier'!$R$5:$R$124,0))</f>
        <v>1000</v>
      </c>
      <c r="J132" s="40" t="n">
        <f aca="false">INDEX('Cost by Tier'!$K$5:$K$124,MATCH($F132&amp;"|"&amp;$C132,'Cost by Tier'!$R$5:$R$124,0))</f>
        <v>1309.12</v>
      </c>
      <c r="K132" s="44" t="n">
        <f aca="false">INDEX('Cost by Tier'!$M$5:$M$124,MATCH($F132&amp;"|"&amp;$C132,'Cost by Tier'!$R$5:$R$124,0))</f>
        <v>15709.44</v>
      </c>
      <c r="L132" s="44" t="n">
        <f aca="false">INDEX('Cost by Tier'!$O$5:$O$124,MATCH($F132&amp;"|"&amp;$C132,'Cost by Tier'!$R$5:$R$124,0))</f>
        <v>3000</v>
      </c>
      <c r="M132" s="44" t="n">
        <f aca="false">INDEX('Cost by Tier'!$P$5:$P$124,MATCH($F132&amp;"|"&amp;$C132,'Cost by Tier'!$R$5:$R$124,0))</f>
        <v>10000</v>
      </c>
      <c r="N132" s="47" t="n">
        <f aca="false">INDEX('Cost by Tier'!$Q$5:$Q$124,MATCH($F132&amp;"|"&amp;$C132,'Cost by Tier'!$R$5:$R$124,0))</f>
        <v>25709.44</v>
      </c>
    </row>
    <row r="133" customFormat="false" ht="15" hidden="false" customHeight="false" outlineLevel="0" collapsed="false">
      <c r="A133" s="38" t="s">
        <v>241</v>
      </c>
      <c r="B133" s="38" t="s">
        <v>21</v>
      </c>
      <c r="C133" s="38" t="s">
        <v>22</v>
      </c>
      <c r="D133" s="38" t="s">
        <v>32</v>
      </c>
      <c r="E133" s="38" t="s">
        <v>139</v>
      </c>
      <c r="F133" s="38" t="s">
        <v>140</v>
      </c>
      <c r="G133" s="39" t="str">
        <f aca="false">INDEX('Cost by Tier'!$F$5:$F$124,MATCH($F133&amp;"|"&amp;$C133,'Cost by Tier'!$R$5:$R$124,0))</f>
        <v>Y</v>
      </c>
      <c r="H133" s="40" t="n">
        <f aca="false">INDEX('Cost by Tier'!$G$5:$G$124,MATCH($F133&amp;"|"&amp;$C133,'Cost by Tier'!$R$5:$R$124,0))</f>
        <v>1357.49</v>
      </c>
      <c r="I133" s="40" t="n">
        <f aca="false">INDEX('Cost by Tier'!$J$5:$J$124,MATCH($F133&amp;"|"&amp;$C133,'Cost by Tier'!$R$5:$R$124,0))</f>
        <v>1000</v>
      </c>
      <c r="J133" s="40" t="n">
        <f aca="false">INDEX('Cost by Tier'!$K$5:$K$124,MATCH($F133&amp;"|"&amp;$C133,'Cost by Tier'!$R$5:$R$124,0))</f>
        <v>357.49</v>
      </c>
      <c r="K133" s="44" t="n">
        <f aca="false">INDEX('Cost by Tier'!$M$5:$M$124,MATCH($F133&amp;"|"&amp;$C133,'Cost by Tier'!$R$5:$R$124,0))</f>
        <v>4289.88</v>
      </c>
      <c r="L133" s="44" t="n">
        <f aca="false">INDEX('Cost by Tier'!$O$5:$O$124,MATCH($F133&amp;"|"&amp;$C133,'Cost by Tier'!$R$5:$R$124,0))</f>
        <v>12000</v>
      </c>
      <c r="M133" s="44" t="n">
        <f aca="false">INDEX('Cost by Tier'!$P$5:$P$124,MATCH($F133&amp;"|"&amp;$C133,'Cost by Tier'!$R$5:$R$124,0))</f>
        <v>13000</v>
      </c>
      <c r="N133" s="47" t="n">
        <f aca="false">INDEX('Cost by Tier'!$Q$5:$Q$124,MATCH($F133&amp;"|"&amp;$C133,'Cost by Tier'!$R$5:$R$124,0))</f>
        <v>17289.88</v>
      </c>
    </row>
    <row r="134" customFormat="false" ht="15" hidden="false" customHeight="false" outlineLevel="0" collapsed="false">
      <c r="A134" s="38" t="s">
        <v>241</v>
      </c>
      <c r="B134" s="38" t="s">
        <v>21</v>
      </c>
      <c r="C134" s="38" t="s">
        <v>22</v>
      </c>
      <c r="D134" s="38" t="s">
        <v>32</v>
      </c>
      <c r="E134" s="38" t="s">
        <v>141</v>
      </c>
      <c r="F134" s="38" t="s">
        <v>142</v>
      </c>
      <c r="G134" s="39" t="str">
        <f aca="false">INDEX('Cost by Tier'!$F$5:$F$124,MATCH($F134&amp;"|"&amp;$C134,'Cost by Tier'!$R$5:$R$124,0))</f>
        <v>N</v>
      </c>
      <c r="H134" s="40" t="n">
        <f aca="false">INDEX('Cost by Tier'!$G$5:$G$124,MATCH($F134&amp;"|"&amp;$C134,'Cost by Tier'!$R$5:$R$124,0))</f>
        <v>1949.92</v>
      </c>
      <c r="I134" s="40" t="n">
        <f aca="false">INDEX('Cost by Tier'!$J$5:$J$124,MATCH($F134&amp;"|"&amp;$C134,'Cost by Tier'!$R$5:$R$124,0))</f>
        <v>1000</v>
      </c>
      <c r="J134" s="40" t="n">
        <f aca="false">INDEX('Cost by Tier'!$K$5:$K$124,MATCH($F134&amp;"|"&amp;$C134,'Cost by Tier'!$R$5:$R$124,0))</f>
        <v>949.92</v>
      </c>
      <c r="K134" s="44" t="n">
        <f aca="false">INDEX('Cost by Tier'!$M$5:$M$124,MATCH($F134&amp;"|"&amp;$C134,'Cost by Tier'!$R$5:$R$124,0))</f>
        <v>11399.04</v>
      </c>
      <c r="L134" s="44" t="n">
        <f aca="false">INDEX('Cost by Tier'!$O$5:$O$124,MATCH($F134&amp;"|"&amp;$C134,'Cost by Tier'!$R$5:$R$124,0))</f>
        <v>6000</v>
      </c>
      <c r="M134" s="44" t="n">
        <f aca="false">INDEX('Cost by Tier'!$P$5:$P$124,MATCH($F134&amp;"|"&amp;$C134,'Cost by Tier'!$R$5:$R$124,0))</f>
        <v>14000</v>
      </c>
      <c r="N134" s="47" t="n">
        <f aca="false">INDEX('Cost by Tier'!$Q$5:$Q$124,MATCH($F134&amp;"|"&amp;$C134,'Cost by Tier'!$R$5:$R$124,0))</f>
        <v>25399.04</v>
      </c>
    </row>
    <row r="135" customFormat="false" ht="15" hidden="false" customHeight="false" outlineLevel="0" collapsed="false">
      <c r="A135" s="38" t="s">
        <v>241</v>
      </c>
      <c r="B135" s="38" t="s">
        <v>21</v>
      </c>
      <c r="C135" s="38" t="s">
        <v>22</v>
      </c>
      <c r="D135" s="38" t="s">
        <v>32</v>
      </c>
      <c r="E135" s="38" t="s">
        <v>33</v>
      </c>
      <c r="F135" s="38" t="s">
        <v>144</v>
      </c>
      <c r="G135" s="39" t="str">
        <f aca="false">INDEX('Cost by Tier'!$F$5:$F$124,MATCH($F135&amp;"|"&amp;$C135,'Cost by Tier'!$R$5:$R$124,0))</f>
        <v>N</v>
      </c>
      <c r="H135" s="40" t="n">
        <f aca="false">INDEX('Cost by Tier'!$G$5:$G$124,MATCH($F135&amp;"|"&amp;$C135,'Cost by Tier'!$R$5:$R$124,0))</f>
        <v>1159.51</v>
      </c>
      <c r="I135" s="40" t="n">
        <f aca="false">INDEX('Cost by Tier'!$J$5:$J$124,MATCH($F135&amp;"|"&amp;$C135,'Cost by Tier'!$R$5:$R$124,0))</f>
        <v>1000</v>
      </c>
      <c r="J135" s="40" t="n">
        <f aca="false">INDEX('Cost by Tier'!$K$5:$K$124,MATCH($F135&amp;"|"&amp;$C135,'Cost by Tier'!$R$5:$R$124,0))</f>
        <v>159.51</v>
      </c>
      <c r="K135" s="44" t="n">
        <f aca="false">INDEX('Cost by Tier'!$M$5:$M$124,MATCH($F135&amp;"|"&amp;$C135,'Cost by Tier'!$R$5:$R$124,0))</f>
        <v>1914.12</v>
      </c>
      <c r="L135" s="44" t="n">
        <f aca="false">INDEX('Cost by Tier'!$O$5:$O$124,MATCH($F135&amp;"|"&amp;$C135,'Cost by Tier'!$R$5:$R$124,0))</f>
        <v>16000</v>
      </c>
      <c r="M135" s="44" t="n">
        <f aca="false">INDEX('Cost by Tier'!$P$5:$P$124,MATCH($F135&amp;"|"&amp;$C135,'Cost by Tier'!$R$5:$R$124,0))</f>
        <v>20000</v>
      </c>
      <c r="N135" s="47" t="n">
        <f aca="false">INDEX('Cost by Tier'!$Q$5:$Q$124,MATCH($F135&amp;"|"&amp;$C135,'Cost by Tier'!$R$5:$R$124,0))</f>
        <v>21914.12</v>
      </c>
    </row>
    <row r="136" customFormat="false" ht="15" hidden="false" customHeight="false" outlineLevel="0" collapsed="false">
      <c r="A136" s="38" t="s">
        <v>241</v>
      </c>
      <c r="B136" s="38" t="s">
        <v>21</v>
      </c>
      <c r="C136" s="38" t="s">
        <v>22</v>
      </c>
      <c r="D136" s="38" t="s">
        <v>35</v>
      </c>
      <c r="E136" s="38" t="s">
        <v>36</v>
      </c>
      <c r="F136" s="38" t="s">
        <v>148</v>
      </c>
      <c r="G136" s="39" t="str">
        <f aca="false">INDEX('Cost by Tier'!$F$5:$F$124,MATCH($F136&amp;"|"&amp;$C136,'Cost by Tier'!$R$5:$R$124,0))</f>
        <v>N</v>
      </c>
      <c r="H136" s="40" t="n">
        <f aca="false">INDEX('Cost by Tier'!$G$5:$G$124,MATCH($F136&amp;"|"&amp;$C136,'Cost by Tier'!$R$5:$R$124,0))</f>
        <v>1166</v>
      </c>
      <c r="I136" s="40" t="n">
        <f aca="false">INDEX('Cost by Tier'!$J$5:$J$124,MATCH($F136&amp;"|"&amp;$C136,'Cost by Tier'!$R$5:$R$124,0))</f>
        <v>1000</v>
      </c>
      <c r="J136" s="40" t="n">
        <f aca="false">INDEX('Cost by Tier'!$K$5:$K$124,MATCH($F136&amp;"|"&amp;$C136,'Cost by Tier'!$R$5:$R$124,0))</f>
        <v>166</v>
      </c>
      <c r="K136" s="44" t="n">
        <f aca="false">INDEX('Cost by Tier'!$M$5:$M$124,MATCH($F136&amp;"|"&amp;$C136,'Cost by Tier'!$R$5:$R$124,0))</f>
        <v>1992</v>
      </c>
      <c r="L136" s="44" t="n">
        <f aca="false">INDEX('Cost by Tier'!$O$5:$O$124,MATCH($F136&amp;"|"&amp;$C136,'Cost by Tier'!$R$5:$R$124,0))</f>
        <v>13000</v>
      </c>
      <c r="M136" s="44" t="n">
        <f aca="false">INDEX('Cost by Tier'!$P$5:$P$124,MATCH($F136&amp;"|"&amp;$C136,'Cost by Tier'!$R$5:$R$124,0))</f>
        <v>15000</v>
      </c>
      <c r="N136" s="47" t="n">
        <f aca="false">INDEX('Cost by Tier'!$Q$5:$Q$124,MATCH($F136&amp;"|"&amp;$C136,'Cost by Tier'!$R$5:$R$124,0))</f>
        <v>16992</v>
      </c>
    </row>
    <row r="137" customFormat="false" ht="15" hidden="false" customHeight="false" outlineLevel="0" collapsed="false">
      <c r="A137" s="38" t="s">
        <v>241</v>
      </c>
      <c r="B137" s="38" t="s">
        <v>21</v>
      </c>
      <c r="C137" s="38" t="s">
        <v>22</v>
      </c>
      <c r="D137" s="38" t="s">
        <v>35</v>
      </c>
      <c r="E137" s="38" t="s">
        <v>153</v>
      </c>
      <c r="F137" s="38" t="s">
        <v>154</v>
      </c>
      <c r="G137" s="39" t="str">
        <f aca="false">INDEX('Cost by Tier'!$F$5:$F$124,MATCH($F137&amp;"|"&amp;$C137,'Cost by Tier'!$R$5:$R$124,0))</f>
        <v>N</v>
      </c>
      <c r="H137" s="40" t="n">
        <f aca="false">INDEX('Cost by Tier'!$G$5:$G$124,MATCH($F137&amp;"|"&amp;$C137,'Cost by Tier'!$R$5:$R$124,0))</f>
        <v>1212</v>
      </c>
      <c r="I137" s="40" t="n">
        <f aca="false">INDEX('Cost by Tier'!$J$5:$J$124,MATCH($F137&amp;"|"&amp;$C137,'Cost by Tier'!$R$5:$R$124,0))</f>
        <v>1000</v>
      </c>
      <c r="J137" s="40" t="n">
        <f aca="false">INDEX('Cost by Tier'!$K$5:$K$124,MATCH($F137&amp;"|"&amp;$C137,'Cost by Tier'!$R$5:$R$124,0))</f>
        <v>212</v>
      </c>
      <c r="K137" s="44" t="n">
        <f aca="false">INDEX('Cost by Tier'!$M$5:$M$124,MATCH($F137&amp;"|"&amp;$C137,'Cost by Tier'!$R$5:$R$124,0))</f>
        <v>2544</v>
      </c>
      <c r="L137" s="44" t="n">
        <f aca="false">INDEX('Cost by Tier'!$O$5:$O$124,MATCH($F137&amp;"|"&amp;$C137,'Cost by Tier'!$R$5:$R$124,0))</f>
        <v>14300</v>
      </c>
      <c r="M137" s="44" t="n">
        <f aca="false">INDEX('Cost by Tier'!$P$5:$P$124,MATCH($F137&amp;"|"&amp;$C137,'Cost by Tier'!$R$5:$R$124,0))</f>
        <v>15200</v>
      </c>
      <c r="N137" s="47" t="n">
        <f aca="false">INDEX('Cost by Tier'!$Q$5:$Q$124,MATCH($F137&amp;"|"&amp;$C137,'Cost by Tier'!$R$5:$R$124,0))</f>
        <v>17744</v>
      </c>
    </row>
    <row r="138" customFormat="false" ht="15" hidden="false" customHeight="false" outlineLevel="0" collapsed="false">
      <c r="A138" s="38" t="s">
        <v>241</v>
      </c>
      <c r="B138" s="38" t="s">
        <v>21</v>
      </c>
      <c r="C138" s="38" t="s">
        <v>22</v>
      </c>
      <c r="D138" s="38" t="s">
        <v>35</v>
      </c>
      <c r="E138" s="38" t="s">
        <v>159</v>
      </c>
      <c r="F138" s="38" t="s">
        <v>160</v>
      </c>
      <c r="G138" s="39" t="str">
        <f aca="false">INDEX('Cost by Tier'!$F$5:$F$124,MATCH($F138&amp;"|"&amp;$C138,'Cost by Tier'!$R$5:$R$124,0))</f>
        <v>Y</v>
      </c>
      <c r="H138" s="40" t="n">
        <f aca="false">INDEX('Cost by Tier'!$G$5:$G$124,MATCH($F138&amp;"|"&amp;$C138,'Cost by Tier'!$R$5:$R$124,0))</f>
        <v>1242</v>
      </c>
      <c r="I138" s="40" t="n">
        <f aca="false">INDEX('Cost by Tier'!$J$5:$J$124,MATCH($F138&amp;"|"&amp;$C138,'Cost by Tier'!$R$5:$R$124,0))</f>
        <v>1000</v>
      </c>
      <c r="J138" s="40" t="n">
        <f aca="false">INDEX('Cost by Tier'!$K$5:$K$124,MATCH($F138&amp;"|"&amp;$C138,'Cost by Tier'!$R$5:$R$124,0))</f>
        <v>242</v>
      </c>
      <c r="K138" s="44" t="n">
        <f aca="false">INDEX('Cost by Tier'!$M$5:$M$124,MATCH($F138&amp;"|"&amp;$C138,'Cost by Tier'!$R$5:$R$124,0))</f>
        <v>2904</v>
      </c>
      <c r="L138" s="44" t="n">
        <f aca="false">INDEX('Cost by Tier'!$O$5:$O$124,MATCH($F138&amp;"|"&amp;$C138,'Cost by Tier'!$R$5:$R$124,0))</f>
        <v>12700</v>
      </c>
      <c r="M138" s="44" t="n">
        <f aca="false">INDEX('Cost by Tier'!$P$5:$P$124,MATCH($F138&amp;"|"&amp;$C138,'Cost by Tier'!$R$5:$R$124,0))</f>
        <v>12700</v>
      </c>
      <c r="N138" s="47" t="n">
        <f aca="false">INDEX('Cost by Tier'!$Q$5:$Q$124,MATCH($F138&amp;"|"&amp;$C138,'Cost by Tier'!$R$5:$R$124,0))</f>
        <v>15604</v>
      </c>
    </row>
    <row r="139" customFormat="false" ht="15" hidden="false" customHeight="false" outlineLevel="0" collapsed="false">
      <c r="A139" s="38" t="s">
        <v>241</v>
      </c>
      <c r="B139" s="38" t="s">
        <v>21</v>
      </c>
      <c r="C139" s="38" t="s">
        <v>22</v>
      </c>
      <c r="D139" s="38" t="s">
        <v>35</v>
      </c>
      <c r="E139" s="38" t="s">
        <v>162</v>
      </c>
      <c r="F139" s="38" t="s">
        <v>163</v>
      </c>
      <c r="G139" s="39" t="str">
        <f aca="false">INDEX('Cost by Tier'!$F$5:$F$124,MATCH($F139&amp;"|"&amp;$C139,'Cost by Tier'!$R$5:$R$124,0))</f>
        <v>Y</v>
      </c>
      <c r="H139" s="40" t="n">
        <f aca="false">INDEX('Cost by Tier'!$G$5:$G$124,MATCH($F139&amp;"|"&amp;$C139,'Cost by Tier'!$R$5:$R$124,0))</f>
        <v>1495</v>
      </c>
      <c r="I139" s="40" t="n">
        <f aca="false">INDEX('Cost by Tier'!$J$5:$J$124,MATCH($F139&amp;"|"&amp;$C139,'Cost by Tier'!$R$5:$R$124,0))</f>
        <v>1000</v>
      </c>
      <c r="J139" s="40" t="n">
        <f aca="false">INDEX('Cost by Tier'!$K$5:$K$124,MATCH($F139&amp;"|"&amp;$C139,'Cost by Tier'!$R$5:$R$124,0))</f>
        <v>495</v>
      </c>
      <c r="K139" s="44" t="n">
        <f aca="false">INDEX('Cost by Tier'!$M$5:$M$124,MATCH($F139&amp;"|"&amp;$C139,'Cost by Tier'!$R$5:$R$124,0))</f>
        <v>5940</v>
      </c>
      <c r="L139" s="44" t="n">
        <f aca="false">INDEX('Cost by Tier'!$O$5:$O$124,MATCH($F139&amp;"|"&amp;$C139,'Cost by Tier'!$R$5:$R$124,0))</f>
        <v>8000</v>
      </c>
      <c r="M139" s="44" t="n">
        <f aca="false">INDEX('Cost by Tier'!$P$5:$P$124,MATCH($F139&amp;"|"&amp;$C139,'Cost by Tier'!$R$5:$R$124,0))</f>
        <v>13700</v>
      </c>
      <c r="N139" s="47" t="n">
        <f aca="false">INDEX('Cost by Tier'!$Q$5:$Q$124,MATCH($F139&amp;"|"&amp;$C139,'Cost by Tier'!$R$5:$R$124,0))</f>
        <v>19640</v>
      </c>
    </row>
    <row r="140" customFormat="false" ht="15" hidden="false" customHeight="false" outlineLevel="0" collapsed="false">
      <c r="A140" s="38" t="s">
        <v>241</v>
      </c>
      <c r="B140" s="38" t="s">
        <v>21</v>
      </c>
      <c r="C140" s="38" t="s">
        <v>22</v>
      </c>
      <c r="D140" s="38" t="s">
        <v>35</v>
      </c>
      <c r="E140" s="38" t="s">
        <v>164</v>
      </c>
      <c r="F140" s="38" t="s">
        <v>165</v>
      </c>
      <c r="G140" s="39" t="str">
        <f aca="false">INDEX('Cost by Tier'!$F$5:$F$124,MATCH($F140&amp;"|"&amp;$C140,'Cost by Tier'!$R$5:$R$124,0))</f>
        <v>N</v>
      </c>
      <c r="H140" s="40" t="n">
        <f aca="false">INDEX('Cost by Tier'!$G$5:$G$124,MATCH($F140&amp;"|"&amp;$C140,'Cost by Tier'!$R$5:$R$124,0))</f>
        <v>1576</v>
      </c>
      <c r="I140" s="40" t="n">
        <f aca="false">INDEX('Cost by Tier'!$J$5:$J$124,MATCH($F140&amp;"|"&amp;$C140,'Cost by Tier'!$R$5:$R$124,0))</f>
        <v>1000</v>
      </c>
      <c r="J140" s="40" t="n">
        <f aca="false">INDEX('Cost by Tier'!$K$5:$K$124,MATCH($F140&amp;"|"&amp;$C140,'Cost by Tier'!$R$5:$R$124,0))</f>
        <v>576</v>
      </c>
      <c r="K140" s="44" t="n">
        <f aca="false">INDEX('Cost by Tier'!$M$5:$M$124,MATCH($F140&amp;"|"&amp;$C140,'Cost by Tier'!$R$5:$R$124,0))</f>
        <v>6912</v>
      </c>
      <c r="L140" s="44" t="n">
        <f aca="false">INDEX('Cost by Tier'!$O$5:$O$124,MATCH($F140&amp;"|"&amp;$C140,'Cost by Tier'!$R$5:$R$124,0))</f>
        <v>5000</v>
      </c>
      <c r="M140" s="44" t="n">
        <f aca="false">INDEX('Cost by Tier'!$P$5:$P$124,MATCH($F140&amp;"|"&amp;$C140,'Cost by Tier'!$R$5:$R$124,0))</f>
        <v>15000</v>
      </c>
      <c r="N140" s="47" t="n">
        <f aca="false">INDEX('Cost by Tier'!$Q$5:$Q$124,MATCH($F140&amp;"|"&amp;$C140,'Cost by Tier'!$R$5:$R$124,0))</f>
        <v>21912</v>
      </c>
    </row>
    <row r="141" customFormat="false" ht="15" hidden="false" customHeight="false" outlineLevel="0" collapsed="false">
      <c r="A141" s="38" t="s">
        <v>241</v>
      </c>
      <c r="B141" s="38" t="s">
        <v>21</v>
      </c>
      <c r="C141" s="38" t="s">
        <v>22</v>
      </c>
      <c r="D141" s="38" t="s">
        <v>35</v>
      </c>
      <c r="E141" s="38" t="s">
        <v>166</v>
      </c>
      <c r="F141" s="38" t="s">
        <v>167</v>
      </c>
      <c r="G141" s="39" t="str">
        <f aca="false">INDEX('Cost by Tier'!$F$5:$F$124,MATCH($F141&amp;"|"&amp;$C141,'Cost by Tier'!$R$5:$R$124,0))</f>
        <v>N</v>
      </c>
      <c r="H141" s="40" t="n">
        <f aca="false">INDEX('Cost by Tier'!$G$5:$G$124,MATCH($F141&amp;"|"&amp;$C141,'Cost by Tier'!$R$5:$R$124,0))</f>
        <v>1603</v>
      </c>
      <c r="I141" s="40" t="n">
        <f aca="false">INDEX('Cost by Tier'!$J$5:$J$124,MATCH($F141&amp;"|"&amp;$C141,'Cost by Tier'!$R$5:$R$124,0))</f>
        <v>1000</v>
      </c>
      <c r="J141" s="40" t="n">
        <f aca="false">INDEX('Cost by Tier'!$K$5:$K$124,MATCH($F141&amp;"|"&amp;$C141,'Cost by Tier'!$R$5:$R$124,0))</f>
        <v>603</v>
      </c>
      <c r="K141" s="44" t="n">
        <f aca="false">INDEX('Cost by Tier'!$M$5:$M$124,MATCH($F141&amp;"|"&amp;$C141,'Cost by Tier'!$R$5:$R$124,0))</f>
        <v>7236</v>
      </c>
      <c r="L141" s="44" t="n">
        <f aca="false">INDEX('Cost by Tier'!$O$5:$O$124,MATCH($F141&amp;"|"&amp;$C141,'Cost by Tier'!$R$5:$R$124,0))</f>
        <v>10000</v>
      </c>
      <c r="M141" s="44" t="n">
        <f aca="false">INDEX('Cost by Tier'!$P$5:$P$124,MATCH($F141&amp;"|"&amp;$C141,'Cost by Tier'!$R$5:$R$124,0))</f>
        <v>15200</v>
      </c>
      <c r="N141" s="47" t="n">
        <f aca="false">INDEX('Cost by Tier'!$Q$5:$Q$124,MATCH($F141&amp;"|"&amp;$C141,'Cost by Tier'!$R$5:$R$124,0))</f>
        <v>22436</v>
      </c>
    </row>
    <row r="142" customFormat="false" ht="15" hidden="false" customHeight="false" outlineLevel="0" collapsed="false">
      <c r="A142" s="38" t="s">
        <v>241</v>
      </c>
      <c r="B142" s="38" t="s">
        <v>21</v>
      </c>
      <c r="C142" s="38" t="s">
        <v>22</v>
      </c>
      <c r="D142" s="38" t="s">
        <v>35</v>
      </c>
      <c r="E142" s="38" t="s">
        <v>170</v>
      </c>
      <c r="F142" s="38" t="s">
        <v>171</v>
      </c>
      <c r="G142" s="39" t="str">
        <f aca="false">INDEX('Cost by Tier'!$F$5:$F$124,MATCH($F142&amp;"|"&amp;$C142,'Cost by Tier'!$R$5:$R$124,0))</f>
        <v>N</v>
      </c>
      <c r="H142" s="40" t="n">
        <f aca="false">INDEX('Cost by Tier'!$G$5:$G$124,MATCH($F142&amp;"|"&amp;$C142,'Cost by Tier'!$R$5:$R$124,0))</f>
        <v>1760</v>
      </c>
      <c r="I142" s="40" t="n">
        <f aca="false">INDEX('Cost by Tier'!$J$5:$J$124,MATCH($F142&amp;"|"&amp;$C142,'Cost by Tier'!$R$5:$R$124,0))</f>
        <v>1000</v>
      </c>
      <c r="J142" s="40" t="n">
        <f aca="false">INDEX('Cost by Tier'!$K$5:$K$124,MATCH($F142&amp;"|"&amp;$C142,'Cost by Tier'!$R$5:$R$124,0))</f>
        <v>760</v>
      </c>
      <c r="K142" s="44" t="n">
        <f aca="false">INDEX('Cost by Tier'!$M$5:$M$124,MATCH($F142&amp;"|"&amp;$C142,'Cost by Tier'!$R$5:$R$124,0))</f>
        <v>9120</v>
      </c>
      <c r="L142" s="44" t="n">
        <f aca="false">INDEX('Cost by Tier'!$O$5:$O$124,MATCH($F142&amp;"|"&amp;$C142,'Cost by Tier'!$R$5:$R$124,0))</f>
        <v>4000</v>
      </c>
      <c r="M142" s="44" t="n">
        <f aca="false">INDEX('Cost by Tier'!$P$5:$P$124,MATCH($F142&amp;"|"&amp;$C142,'Cost by Tier'!$R$5:$R$124,0))</f>
        <v>13000</v>
      </c>
      <c r="N142" s="47" t="n">
        <f aca="false">INDEX('Cost by Tier'!$Q$5:$Q$124,MATCH($F142&amp;"|"&amp;$C142,'Cost by Tier'!$R$5:$R$124,0))</f>
        <v>22120</v>
      </c>
    </row>
    <row r="143" customFormat="false" ht="15" hidden="false" customHeight="false" outlineLevel="0" collapsed="false">
      <c r="A143" s="38" t="s">
        <v>241</v>
      </c>
      <c r="B143" s="38" t="s">
        <v>21</v>
      </c>
      <c r="C143" s="38" t="s">
        <v>22</v>
      </c>
      <c r="D143" s="38" t="s">
        <v>35</v>
      </c>
      <c r="E143" s="38" t="s">
        <v>175</v>
      </c>
      <c r="F143" s="38" t="s">
        <v>176</v>
      </c>
      <c r="G143" s="39" t="str">
        <f aca="false">INDEX('Cost by Tier'!$F$5:$F$124,MATCH($F143&amp;"|"&amp;$C143,'Cost by Tier'!$R$5:$R$124,0))</f>
        <v>N</v>
      </c>
      <c r="H143" s="40" t="n">
        <f aca="false">INDEX('Cost by Tier'!$G$5:$G$124,MATCH($F143&amp;"|"&amp;$C143,'Cost by Tier'!$R$5:$R$124,0))</f>
        <v>1812</v>
      </c>
      <c r="I143" s="40" t="n">
        <f aca="false">INDEX('Cost by Tier'!$J$5:$J$124,MATCH($F143&amp;"|"&amp;$C143,'Cost by Tier'!$R$5:$R$124,0))</f>
        <v>1000</v>
      </c>
      <c r="J143" s="40" t="n">
        <f aca="false">INDEX('Cost by Tier'!$K$5:$K$124,MATCH($F143&amp;"|"&amp;$C143,'Cost by Tier'!$R$5:$R$124,0))</f>
        <v>812</v>
      </c>
      <c r="K143" s="44" t="n">
        <f aca="false">INDEX('Cost by Tier'!$M$5:$M$124,MATCH($F143&amp;"|"&amp;$C143,'Cost by Tier'!$R$5:$R$124,0))</f>
        <v>9744</v>
      </c>
      <c r="L143" s="44" t="n">
        <f aca="false">INDEX('Cost by Tier'!$O$5:$O$124,MATCH($F143&amp;"|"&amp;$C143,'Cost by Tier'!$R$5:$R$124,0))</f>
        <v>2000</v>
      </c>
      <c r="M143" s="44" t="n">
        <f aca="false">INDEX('Cost by Tier'!$P$5:$P$124,MATCH($F143&amp;"|"&amp;$C143,'Cost by Tier'!$R$5:$R$124,0))</f>
        <v>11000</v>
      </c>
      <c r="N143" s="47" t="n">
        <f aca="false">INDEX('Cost by Tier'!$Q$5:$Q$124,MATCH($F143&amp;"|"&amp;$C143,'Cost by Tier'!$R$5:$R$124,0))</f>
        <v>20744</v>
      </c>
    </row>
    <row r="144" customFormat="false" ht="15" hidden="false" customHeight="false" outlineLevel="0" collapsed="false">
      <c r="A144" s="38" t="s">
        <v>241</v>
      </c>
      <c r="B144" s="38" t="s">
        <v>21</v>
      </c>
      <c r="C144" s="38" t="s">
        <v>22</v>
      </c>
      <c r="D144" s="38" t="s">
        <v>35</v>
      </c>
      <c r="E144" s="38" t="s">
        <v>177</v>
      </c>
      <c r="F144" s="38" t="s">
        <v>178</v>
      </c>
      <c r="G144" s="39" t="str">
        <f aca="false">INDEX('Cost by Tier'!$F$5:$F$124,MATCH($F144&amp;"|"&amp;$C144,'Cost by Tier'!$R$5:$R$124,0))</f>
        <v>N</v>
      </c>
      <c r="H144" s="40" t="n">
        <f aca="false">INDEX('Cost by Tier'!$G$5:$G$124,MATCH($F144&amp;"|"&amp;$C144,'Cost by Tier'!$R$5:$R$124,0))</f>
        <v>1897</v>
      </c>
      <c r="I144" s="40" t="n">
        <f aca="false">INDEX('Cost by Tier'!$J$5:$J$124,MATCH($F144&amp;"|"&amp;$C144,'Cost by Tier'!$R$5:$R$124,0))</f>
        <v>1000</v>
      </c>
      <c r="J144" s="40" t="n">
        <f aca="false">INDEX('Cost by Tier'!$K$5:$K$124,MATCH($F144&amp;"|"&amp;$C144,'Cost by Tier'!$R$5:$R$124,0))</f>
        <v>897</v>
      </c>
      <c r="K144" s="44" t="n">
        <f aca="false">INDEX('Cost by Tier'!$M$5:$M$124,MATCH($F144&amp;"|"&amp;$C144,'Cost by Tier'!$R$5:$R$124,0))</f>
        <v>10764</v>
      </c>
      <c r="L144" s="44" t="n">
        <f aca="false">INDEX('Cost by Tier'!$O$5:$O$124,MATCH($F144&amp;"|"&amp;$C144,'Cost by Tier'!$R$5:$R$124,0))</f>
        <v>6000</v>
      </c>
      <c r="M144" s="44" t="n">
        <f aca="false">INDEX('Cost by Tier'!$P$5:$P$124,MATCH($F144&amp;"|"&amp;$C144,'Cost by Tier'!$R$5:$R$124,0))</f>
        <v>12000</v>
      </c>
      <c r="N144" s="47" t="n">
        <f aca="false">INDEX('Cost by Tier'!$Q$5:$Q$124,MATCH($F144&amp;"|"&amp;$C144,'Cost by Tier'!$R$5:$R$124,0))</f>
        <v>22764</v>
      </c>
    </row>
    <row r="145" customFormat="false" ht="15" hidden="false" customHeight="false" outlineLevel="0" collapsed="false">
      <c r="A145" s="38" t="s">
        <v>241</v>
      </c>
      <c r="B145" s="38" t="s">
        <v>21</v>
      </c>
      <c r="C145" s="38" t="s">
        <v>22</v>
      </c>
      <c r="D145" s="38" t="s">
        <v>35</v>
      </c>
      <c r="E145" s="38" t="s">
        <v>179</v>
      </c>
      <c r="F145" s="38" t="s">
        <v>180</v>
      </c>
      <c r="G145" s="39" t="str">
        <f aca="false">INDEX('Cost by Tier'!$F$5:$F$124,MATCH($F145&amp;"|"&amp;$C145,'Cost by Tier'!$R$5:$R$124,0))</f>
        <v>N</v>
      </c>
      <c r="H145" s="40" t="n">
        <f aca="false">INDEX('Cost by Tier'!$G$5:$G$124,MATCH($F145&amp;"|"&amp;$C145,'Cost by Tier'!$R$5:$R$124,0))</f>
        <v>1915</v>
      </c>
      <c r="I145" s="40" t="n">
        <f aca="false">INDEX('Cost by Tier'!$J$5:$J$124,MATCH($F145&amp;"|"&amp;$C145,'Cost by Tier'!$R$5:$R$124,0))</f>
        <v>1000</v>
      </c>
      <c r="J145" s="40" t="n">
        <f aca="false">INDEX('Cost by Tier'!$K$5:$K$124,MATCH($F145&amp;"|"&amp;$C145,'Cost by Tier'!$R$5:$R$124,0))</f>
        <v>915</v>
      </c>
      <c r="K145" s="44" t="n">
        <f aca="false">INDEX('Cost by Tier'!$M$5:$M$124,MATCH($F145&amp;"|"&amp;$C145,'Cost by Tier'!$R$5:$R$124,0))</f>
        <v>10980</v>
      </c>
      <c r="L145" s="44" t="n">
        <f aca="false">INDEX('Cost by Tier'!$O$5:$O$124,MATCH($F145&amp;"|"&amp;$C145,'Cost by Tier'!$R$5:$R$124,0))</f>
        <v>4000</v>
      </c>
      <c r="M145" s="44" t="n">
        <f aca="false">INDEX('Cost by Tier'!$P$5:$P$124,MATCH($F145&amp;"|"&amp;$C145,'Cost by Tier'!$R$5:$R$124,0))</f>
        <v>13700</v>
      </c>
      <c r="N145" s="47" t="n">
        <f aca="false">INDEX('Cost by Tier'!$Q$5:$Q$124,MATCH($F145&amp;"|"&amp;$C145,'Cost by Tier'!$R$5:$R$124,0))</f>
        <v>24680</v>
      </c>
    </row>
    <row r="146" customFormat="false" ht="15" hidden="false" customHeight="false" outlineLevel="0" collapsed="false">
      <c r="A146" s="38" t="s">
        <v>241</v>
      </c>
      <c r="B146" s="38" t="s">
        <v>21</v>
      </c>
      <c r="C146" s="38" t="s">
        <v>22</v>
      </c>
      <c r="D146" s="38" t="s">
        <v>35</v>
      </c>
      <c r="E146" s="38" t="s">
        <v>181</v>
      </c>
      <c r="F146" s="38" t="s">
        <v>182</v>
      </c>
      <c r="G146" s="39" t="str">
        <f aca="false">INDEX('Cost by Tier'!$F$5:$F$124,MATCH($F146&amp;"|"&amp;$C146,'Cost by Tier'!$R$5:$R$124,0))</f>
        <v>N</v>
      </c>
      <c r="H146" s="40" t="n">
        <f aca="false">INDEX('Cost by Tier'!$G$5:$G$124,MATCH($F146&amp;"|"&amp;$C146,'Cost by Tier'!$R$5:$R$124,0))</f>
        <v>1938</v>
      </c>
      <c r="I146" s="40" t="n">
        <f aca="false">INDEX('Cost by Tier'!$J$5:$J$124,MATCH($F146&amp;"|"&amp;$C146,'Cost by Tier'!$R$5:$R$124,0))</f>
        <v>1000</v>
      </c>
      <c r="J146" s="40" t="n">
        <f aca="false">INDEX('Cost by Tier'!$K$5:$K$124,MATCH($F146&amp;"|"&amp;$C146,'Cost by Tier'!$R$5:$R$124,0))</f>
        <v>938</v>
      </c>
      <c r="K146" s="44" t="n">
        <f aca="false">INDEX('Cost by Tier'!$M$5:$M$124,MATCH($F146&amp;"|"&amp;$C146,'Cost by Tier'!$R$5:$R$124,0))</f>
        <v>11256</v>
      </c>
      <c r="L146" s="44" t="n">
        <f aca="false">INDEX('Cost by Tier'!$O$5:$O$124,MATCH($F146&amp;"|"&amp;$C146,'Cost by Tier'!$R$5:$R$124,0))</f>
        <v>2000</v>
      </c>
      <c r="M146" s="44" t="n">
        <f aca="false">INDEX('Cost by Tier'!$P$5:$P$124,MATCH($F146&amp;"|"&amp;$C146,'Cost by Tier'!$R$5:$R$124,0))</f>
        <v>10000</v>
      </c>
      <c r="N146" s="47" t="n">
        <f aca="false">INDEX('Cost by Tier'!$Q$5:$Q$124,MATCH($F146&amp;"|"&amp;$C146,'Cost by Tier'!$R$5:$R$124,0))</f>
        <v>21256</v>
      </c>
    </row>
    <row r="147" customFormat="false" ht="15" hidden="false" customHeight="false" outlineLevel="0" collapsed="false">
      <c r="A147" s="38" t="s">
        <v>241</v>
      </c>
      <c r="B147" s="38" t="s">
        <v>21</v>
      </c>
      <c r="C147" s="38" t="s">
        <v>22</v>
      </c>
      <c r="D147" s="38" t="s">
        <v>35</v>
      </c>
      <c r="E147" s="38" t="s">
        <v>183</v>
      </c>
      <c r="F147" s="38" t="s">
        <v>184</v>
      </c>
      <c r="G147" s="39" t="str">
        <f aca="false">INDEX('Cost by Tier'!$F$5:$F$124,MATCH($F147&amp;"|"&amp;$C147,'Cost by Tier'!$R$5:$R$124,0))</f>
        <v>N</v>
      </c>
      <c r="H147" s="40" t="n">
        <f aca="false">INDEX('Cost by Tier'!$G$5:$G$124,MATCH($F147&amp;"|"&amp;$C147,'Cost by Tier'!$R$5:$R$124,0))</f>
        <v>2030</v>
      </c>
      <c r="I147" s="40" t="n">
        <f aca="false">INDEX('Cost by Tier'!$J$5:$J$124,MATCH($F147&amp;"|"&amp;$C147,'Cost by Tier'!$R$5:$R$124,0))</f>
        <v>1000</v>
      </c>
      <c r="J147" s="40" t="n">
        <f aca="false">INDEX('Cost by Tier'!$K$5:$K$124,MATCH($F147&amp;"|"&amp;$C147,'Cost by Tier'!$R$5:$R$124,0))</f>
        <v>1030</v>
      </c>
      <c r="K147" s="44" t="n">
        <f aca="false">INDEX('Cost by Tier'!$M$5:$M$124,MATCH($F147&amp;"|"&amp;$C147,'Cost by Tier'!$R$5:$R$124,0))</f>
        <v>12360</v>
      </c>
      <c r="L147" s="44" t="n">
        <f aca="false">INDEX('Cost by Tier'!$O$5:$O$124,MATCH($F147&amp;"|"&amp;$C147,'Cost by Tier'!$R$5:$R$124,0))</f>
        <v>2000</v>
      </c>
      <c r="M147" s="44" t="n">
        <f aca="false">INDEX('Cost by Tier'!$P$5:$P$124,MATCH($F147&amp;"|"&amp;$C147,'Cost by Tier'!$R$5:$R$124,0))</f>
        <v>9000</v>
      </c>
      <c r="N147" s="47" t="n">
        <f aca="false">INDEX('Cost by Tier'!$Q$5:$Q$124,MATCH($F147&amp;"|"&amp;$C147,'Cost by Tier'!$R$5:$R$124,0))</f>
        <v>21360</v>
      </c>
    </row>
    <row r="148" customFormat="false" ht="15" hidden="false" customHeight="false" outlineLevel="0" collapsed="false">
      <c r="A148" s="38" t="s">
        <v>241</v>
      </c>
      <c r="B148" s="38" t="s">
        <v>21</v>
      </c>
      <c r="C148" s="38" t="s">
        <v>22</v>
      </c>
      <c r="D148" s="38" t="s">
        <v>35</v>
      </c>
      <c r="E148" s="38" t="s">
        <v>185</v>
      </c>
      <c r="F148" s="38" t="s">
        <v>186</v>
      </c>
      <c r="G148" s="39" t="str">
        <f aca="false">INDEX('Cost by Tier'!$F$5:$F$124,MATCH($F148&amp;"|"&amp;$C148,'Cost by Tier'!$R$5:$R$124,0))</f>
        <v>Y</v>
      </c>
      <c r="H148" s="40" t="n">
        <f aca="false">INDEX('Cost by Tier'!$G$5:$G$124,MATCH($F148&amp;"|"&amp;$C148,'Cost by Tier'!$R$5:$R$124,0))</f>
        <v>1787</v>
      </c>
      <c r="I148" s="40" t="n">
        <f aca="false">INDEX('Cost by Tier'!$J$5:$J$124,MATCH($F148&amp;"|"&amp;$C148,'Cost by Tier'!$R$5:$R$124,0))</f>
        <v>1000</v>
      </c>
      <c r="J148" s="40" t="n">
        <f aca="false">INDEX('Cost by Tier'!$K$5:$K$124,MATCH($F148&amp;"|"&amp;$C148,'Cost by Tier'!$R$5:$R$124,0))</f>
        <v>787</v>
      </c>
      <c r="K148" s="44" t="n">
        <f aca="false">INDEX('Cost by Tier'!$M$5:$M$124,MATCH($F148&amp;"|"&amp;$C148,'Cost by Tier'!$R$5:$R$124,0))</f>
        <v>9444</v>
      </c>
      <c r="L148" s="44" t="n">
        <f aca="false">INDEX('Cost by Tier'!$O$5:$O$124,MATCH($F148&amp;"|"&amp;$C148,'Cost by Tier'!$R$5:$R$124,0))</f>
        <v>4000</v>
      </c>
      <c r="M148" s="44" t="n">
        <f aca="false">INDEX('Cost by Tier'!$P$5:$P$124,MATCH($F148&amp;"|"&amp;$C148,'Cost by Tier'!$R$5:$R$124,0))</f>
        <v>7000</v>
      </c>
      <c r="N148" s="47" t="n">
        <f aca="false">INDEX('Cost by Tier'!$Q$5:$Q$124,MATCH($F148&amp;"|"&amp;$C148,'Cost by Tier'!$R$5:$R$124,0))</f>
        <v>16444</v>
      </c>
    </row>
    <row r="149" customFormat="false" ht="15" hidden="false" customHeight="false" outlineLevel="0" collapsed="false">
      <c r="A149" s="38" t="s">
        <v>241</v>
      </c>
      <c r="B149" s="38" t="s">
        <v>21</v>
      </c>
      <c r="C149" s="38" t="s">
        <v>22</v>
      </c>
      <c r="D149" s="38" t="s">
        <v>35</v>
      </c>
      <c r="E149" s="38" t="s">
        <v>189</v>
      </c>
      <c r="F149" s="38" t="s">
        <v>190</v>
      </c>
      <c r="G149" s="39" t="str">
        <f aca="false">INDEX('Cost by Tier'!$F$5:$F$124,MATCH($F149&amp;"|"&amp;$C149,'Cost by Tier'!$R$5:$R$124,0))</f>
        <v>N</v>
      </c>
      <c r="H149" s="40" t="n">
        <f aca="false">INDEX('Cost by Tier'!$G$5:$G$124,MATCH($F149&amp;"|"&amp;$C149,'Cost by Tier'!$R$5:$R$124,0))</f>
        <v>2252</v>
      </c>
      <c r="I149" s="40" t="n">
        <f aca="false">INDEX('Cost by Tier'!$J$5:$J$124,MATCH($F149&amp;"|"&amp;$C149,'Cost by Tier'!$R$5:$R$124,0))</f>
        <v>1000</v>
      </c>
      <c r="J149" s="40" t="n">
        <f aca="false">INDEX('Cost by Tier'!$K$5:$K$124,MATCH($F149&amp;"|"&amp;$C149,'Cost by Tier'!$R$5:$R$124,0))</f>
        <v>1252</v>
      </c>
      <c r="K149" s="44" t="n">
        <f aca="false">INDEX('Cost by Tier'!$M$5:$M$124,MATCH($F149&amp;"|"&amp;$C149,'Cost by Tier'!$R$5:$R$124,0))</f>
        <v>15024</v>
      </c>
      <c r="L149" s="44" t="n">
        <f aca="false">INDEX('Cost by Tier'!$O$5:$O$124,MATCH($F149&amp;"|"&amp;$C149,'Cost by Tier'!$R$5:$R$124,0))</f>
        <v>1500</v>
      </c>
      <c r="M149" s="44" t="n">
        <f aca="false">INDEX('Cost by Tier'!$P$5:$P$124,MATCH($F149&amp;"|"&amp;$C149,'Cost by Tier'!$R$5:$R$124,0))</f>
        <v>8000</v>
      </c>
      <c r="N149" s="47" t="n">
        <f aca="false">INDEX('Cost by Tier'!$Q$5:$Q$124,MATCH($F149&amp;"|"&amp;$C149,'Cost by Tier'!$R$5:$R$124,0))</f>
        <v>23024</v>
      </c>
    </row>
    <row r="150" customFormat="false" ht="15" hidden="false" customHeight="false" outlineLevel="0" collapsed="false">
      <c r="A150" s="38" t="s">
        <v>241</v>
      </c>
      <c r="B150" s="38" t="s">
        <v>21</v>
      </c>
      <c r="C150" s="38" t="s">
        <v>22</v>
      </c>
      <c r="D150" s="38" t="s">
        <v>35</v>
      </c>
      <c r="E150" s="38" t="s">
        <v>191</v>
      </c>
      <c r="F150" s="38" t="s">
        <v>192</v>
      </c>
      <c r="G150" s="39" t="str">
        <f aca="false">INDEX('Cost by Tier'!$F$5:$F$124,MATCH($F150&amp;"|"&amp;$C150,'Cost by Tier'!$R$5:$R$124,0))</f>
        <v>N</v>
      </c>
      <c r="H150" s="40" t="n">
        <f aca="false">INDEX('Cost by Tier'!$G$5:$G$124,MATCH($F150&amp;"|"&amp;$C150,'Cost by Tier'!$R$5:$R$124,0))</f>
        <v>2404</v>
      </c>
      <c r="I150" s="40" t="n">
        <f aca="false">INDEX('Cost by Tier'!$J$5:$J$124,MATCH($F150&amp;"|"&amp;$C150,'Cost by Tier'!$R$5:$R$124,0))</f>
        <v>1000</v>
      </c>
      <c r="J150" s="40" t="n">
        <f aca="false">INDEX('Cost by Tier'!$K$5:$K$124,MATCH($F150&amp;"|"&amp;$C150,'Cost by Tier'!$R$5:$R$124,0))</f>
        <v>1404</v>
      </c>
      <c r="K150" s="44" t="n">
        <f aca="false">INDEX('Cost by Tier'!$M$5:$M$124,MATCH($F150&amp;"|"&amp;$C150,'Cost by Tier'!$R$5:$R$124,0))</f>
        <v>16848</v>
      </c>
      <c r="L150" s="44" t="n">
        <f aca="false">INDEX('Cost by Tier'!$O$5:$O$124,MATCH($F150&amp;"|"&amp;$C150,'Cost by Tier'!$R$5:$R$124,0))</f>
        <v>0</v>
      </c>
      <c r="M150" s="44" t="n">
        <f aca="false">INDEX('Cost by Tier'!$P$5:$P$124,MATCH($F150&amp;"|"&amp;$C150,'Cost by Tier'!$R$5:$R$124,0))</f>
        <v>6000</v>
      </c>
      <c r="N150" s="47" t="n">
        <f aca="false">INDEX('Cost by Tier'!$Q$5:$Q$124,MATCH($F150&amp;"|"&amp;$C150,'Cost by Tier'!$R$5:$R$124,0))</f>
        <v>22848</v>
      </c>
    </row>
    <row r="151" customFormat="false" ht="15" hidden="false" customHeight="false" outlineLevel="0" collapsed="false">
      <c r="A151" s="38" t="s">
        <v>241</v>
      </c>
      <c r="B151" s="38" t="s">
        <v>21</v>
      </c>
      <c r="C151" s="38" t="s">
        <v>22</v>
      </c>
      <c r="D151" s="38" t="s">
        <v>35</v>
      </c>
      <c r="E151" s="38" t="s">
        <v>194</v>
      </c>
      <c r="F151" s="38" t="s">
        <v>195</v>
      </c>
      <c r="G151" s="39" t="str">
        <f aca="false">INDEX('Cost by Tier'!$F$5:$F$124,MATCH($F151&amp;"|"&amp;$C151,'Cost by Tier'!$R$5:$R$124,0))</f>
        <v>N</v>
      </c>
      <c r="H151" s="40" t="n">
        <f aca="false">INDEX('Cost by Tier'!$G$5:$G$124,MATCH($F151&amp;"|"&amp;$C151,'Cost by Tier'!$R$5:$R$124,0))</f>
        <v>2614</v>
      </c>
      <c r="I151" s="40" t="n">
        <f aca="false">INDEX('Cost by Tier'!$J$5:$J$124,MATCH($F151&amp;"|"&amp;$C151,'Cost by Tier'!$R$5:$R$124,0))</f>
        <v>1000</v>
      </c>
      <c r="J151" s="40" t="n">
        <f aca="false">INDEX('Cost by Tier'!$K$5:$K$124,MATCH($F151&amp;"|"&amp;$C151,'Cost by Tier'!$R$5:$R$124,0))</f>
        <v>1614</v>
      </c>
      <c r="K151" s="44" t="n">
        <f aca="false">INDEX('Cost by Tier'!$M$5:$M$124,MATCH($F151&amp;"|"&amp;$C151,'Cost by Tier'!$R$5:$R$124,0))</f>
        <v>19368</v>
      </c>
      <c r="L151" s="44" t="n">
        <f aca="false">INDEX('Cost by Tier'!$O$5:$O$124,MATCH($F151&amp;"|"&amp;$C151,'Cost by Tier'!$R$5:$R$124,0))</f>
        <v>600</v>
      </c>
      <c r="M151" s="44" t="n">
        <f aca="false">INDEX('Cost by Tier'!$P$5:$P$124,MATCH($F151&amp;"|"&amp;$C151,'Cost by Tier'!$R$5:$R$124,0))</f>
        <v>6000</v>
      </c>
      <c r="N151" s="47" t="n">
        <f aca="false">INDEX('Cost by Tier'!$Q$5:$Q$124,MATCH($F151&amp;"|"&amp;$C151,'Cost by Tier'!$R$5:$R$124,0))</f>
        <v>25368</v>
      </c>
    </row>
    <row r="152" customFormat="false" ht="15" hidden="false" customHeight="false" outlineLevel="0" collapsed="false">
      <c r="A152" s="38" t="s">
        <v>241</v>
      </c>
      <c r="B152" s="38" t="s">
        <v>21</v>
      </c>
      <c r="C152" s="38" t="s">
        <v>22</v>
      </c>
      <c r="D152" s="38" t="s">
        <v>38</v>
      </c>
      <c r="E152" s="38" t="s">
        <v>39</v>
      </c>
      <c r="F152" s="38" t="s">
        <v>196</v>
      </c>
      <c r="G152" s="39" t="str">
        <f aca="false">INDEX('Cost by Tier'!$F$5:$F$124,MATCH($F152&amp;"|"&amp;$C152,'Cost by Tier'!$R$5:$R$124,0))</f>
        <v>Y</v>
      </c>
      <c r="H152" s="40" t="n">
        <f aca="false">INDEX('Cost by Tier'!$G$5:$G$124,MATCH($F152&amp;"|"&amp;$C152,'Cost by Tier'!$R$5:$R$124,0))</f>
        <v>1361</v>
      </c>
      <c r="I152" s="40" t="n">
        <f aca="false">INDEX('Cost by Tier'!$J$5:$J$124,MATCH($F152&amp;"|"&amp;$C152,'Cost by Tier'!$R$5:$R$124,0))</f>
        <v>1000</v>
      </c>
      <c r="J152" s="40" t="n">
        <f aca="false">INDEX('Cost by Tier'!$K$5:$K$124,MATCH($F152&amp;"|"&amp;$C152,'Cost by Tier'!$R$5:$R$124,0))</f>
        <v>361</v>
      </c>
      <c r="K152" s="44" t="n">
        <f aca="false">INDEX('Cost by Tier'!$M$5:$M$124,MATCH($F152&amp;"|"&amp;$C152,'Cost by Tier'!$R$5:$R$124,0))</f>
        <v>4332</v>
      </c>
      <c r="L152" s="44" t="n">
        <f aca="false">INDEX('Cost by Tier'!$O$5:$O$124,MATCH($F152&amp;"|"&amp;$C152,'Cost by Tier'!$R$5:$R$124,0))</f>
        <v>6800</v>
      </c>
      <c r="M152" s="44" t="n">
        <f aca="false">INDEX('Cost by Tier'!$P$5:$P$124,MATCH($F152&amp;"|"&amp;$C152,'Cost by Tier'!$R$5:$R$124,0))</f>
        <v>10000</v>
      </c>
      <c r="N152" s="47" t="n">
        <f aca="false">INDEX('Cost by Tier'!$Q$5:$Q$124,MATCH($F152&amp;"|"&amp;$C152,'Cost by Tier'!$R$5:$R$124,0))</f>
        <v>14332</v>
      </c>
    </row>
    <row r="153" customFormat="false" ht="15" hidden="false" customHeight="false" outlineLevel="0" collapsed="false">
      <c r="A153" s="38" t="s">
        <v>241</v>
      </c>
      <c r="B153" s="38" t="s">
        <v>21</v>
      </c>
      <c r="C153" s="38" t="s">
        <v>22</v>
      </c>
      <c r="D153" s="38" t="s">
        <v>38</v>
      </c>
      <c r="E153" s="38" t="s">
        <v>199</v>
      </c>
      <c r="F153" s="38" t="s">
        <v>200</v>
      </c>
      <c r="G153" s="39" t="str">
        <f aca="false">INDEX('Cost by Tier'!$F$5:$F$124,MATCH($F153&amp;"|"&amp;$C153,'Cost by Tier'!$R$5:$R$124,0))</f>
        <v>N</v>
      </c>
      <c r="H153" s="40" t="n">
        <f aca="false">INDEX('Cost by Tier'!$G$5:$G$124,MATCH($F153&amp;"|"&amp;$C153,'Cost by Tier'!$R$5:$R$124,0))</f>
        <v>1525.54</v>
      </c>
      <c r="I153" s="40" t="n">
        <f aca="false">INDEX('Cost by Tier'!$J$5:$J$124,MATCH($F153&amp;"|"&amp;$C153,'Cost by Tier'!$R$5:$R$124,0))</f>
        <v>1000</v>
      </c>
      <c r="J153" s="40" t="n">
        <f aca="false">INDEX('Cost by Tier'!$K$5:$K$124,MATCH($F153&amp;"|"&amp;$C153,'Cost by Tier'!$R$5:$R$124,0))</f>
        <v>525.54</v>
      </c>
      <c r="K153" s="44" t="n">
        <f aca="false">INDEX('Cost by Tier'!$M$5:$M$124,MATCH($F153&amp;"|"&amp;$C153,'Cost by Tier'!$R$5:$R$124,0))</f>
        <v>6306.48</v>
      </c>
      <c r="L153" s="44" t="n">
        <f aca="false">INDEX('Cost by Tier'!$O$5:$O$124,MATCH($F153&amp;"|"&amp;$C153,'Cost by Tier'!$R$5:$R$124,0))</f>
        <v>4000</v>
      </c>
      <c r="M153" s="44" t="n">
        <f aca="false">INDEX('Cost by Tier'!$P$5:$P$124,MATCH($F153&amp;"|"&amp;$C153,'Cost by Tier'!$R$5:$R$124,0))</f>
        <v>8000</v>
      </c>
      <c r="N153" s="47" t="n">
        <f aca="false">INDEX('Cost by Tier'!$Q$5:$Q$124,MATCH($F153&amp;"|"&amp;$C153,'Cost by Tier'!$R$5:$R$124,0))</f>
        <v>14306.48</v>
      </c>
    </row>
    <row r="154" customFormat="false" ht="15" hidden="false" customHeight="false" outlineLevel="0" collapsed="false">
      <c r="A154" s="38" t="s">
        <v>241</v>
      </c>
      <c r="B154" s="38" t="s">
        <v>21</v>
      </c>
      <c r="C154" s="38" t="s">
        <v>22</v>
      </c>
      <c r="D154" s="38" t="s">
        <v>38</v>
      </c>
      <c r="E154" s="38" t="s">
        <v>203</v>
      </c>
      <c r="F154" s="38" t="s">
        <v>204</v>
      </c>
      <c r="G154" s="39" t="str">
        <f aca="false">INDEX('Cost by Tier'!$F$5:$F$124,MATCH($F154&amp;"|"&amp;$C154,'Cost by Tier'!$R$5:$R$124,0))</f>
        <v>N</v>
      </c>
      <c r="H154" s="40" t="n">
        <f aca="false">INDEX('Cost by Tier'!$G$5:$G$124,MATCH($F154&amp;"|"&amp;$C154,'Cost by Tier'!$R$5:$R$124,0))</f>
        <v>1693.61</v>
      </c>
      <c r="I154" s="40" t="n">
        <f aca="false">INDEX('Cost by Tier'!$J$5:$J$124,MATCH($F154&amp;"|"&amp;$C154,'Cost by Tier'!$R$5:$R$124,0))</f>
        <v>1000</v>
      </c>
      <c r="J154" s="40" t="n">
        <f aca="false">INDEX('Cost by Tier'!$K$5:$K$124,MATCH($F154&amp;"|"&amp;$C154,'Cost by Tier'!$R$5:$R$124,0))</f>
        <v>693.61</v>
      </c>
      <c r="K154" s="44" t="n">
        <f aca="false">INDEX('Cost by Tier'!$M$5:$M$124,MATCH($F154&amp;"|"&amp;$C154,'Cost by Tier'!$R$5:$R$124,0))</f>
        <v>8323.32</v>
      </c>
      <c r="L154" s="44" t="n">
        <f aca="false">INDEX('Cost by Tier'!$O$5:$O$124,MATCH($F154&amp;"|"&amp;$C154,'Cost by Tier'!$R$5:$R$124,0))</f>
        <v>2000</v>
      </c>
      <c r="M154" s="44" t="n">
        <f aca="false">INDEX('Cost by Tier'!$P$5:$P$124,MATCH($F154&amp;"|"&amp;$C154,'Cost by Tier'!$R$5:$R$124,0))</f>
        <v>4000</v>
      </c>
      <c r="N154" s="47" t="n">
        <f aca="false">INDEX('Cost by Tier'!$Q$5:$Q$124,MATCH($F154&amp;"|"&amp;$C154,'Cost by Tier'!$R$5:$R$124,0))</f>
        <v>12323.32</v>
      </c>
    </row>
    <row r="156" customFormat="false" ht="15" hidden="false" customHeight="false" outlineLevel="0" collapsed="false">
      <c r="A156" s="2" t="s">
        <v>242</v>
      </c>
    </row>
  </sheetData>
  <autoFilter ref="A4:N1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2026-09-04T00:01:35Z</dcterms:created>
  <dc:creator>openpyxl</dc:creator>
  <dc:description/>
  <dc:language>en-US</dc:language>
  <cp:lastModifiedBy/>
  <dcterms:modified xsi:type="dcterms:W3CDTF">2026-09-04T00:01:36Z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