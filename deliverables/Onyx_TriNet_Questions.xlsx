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  <sheet name="Summary" sheetId="2" state="visible" r:id="rId4"/>
  </sheets>
  <definedNames>
    <definedName function="false" hidden="false" localSheetId="0" name="_xlnm.Print_Titles" vbProcedure="false">Questions!$5:$5</definedName>
    <definedName function="false" hidden="true" localSheetId="0" name="_xlnm._FilterDatabase" vbProcedure="false">Questions!$A$5:$L$37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<sst xmlns="http://schemas.openxmlformats.org/spreadsheetml/2006/main" count="279" uniqueCount="203">
  <si>
    <t xml:space="preserve">Questions for TriNet</t>
  </si>
  <si>
    <t xml:space="preserve">Onyx Accounting Group, LLC - 2026 benefits placement.  Quote Q-00412887, Aetna only, medical effective 10/1/2026.  Twenty-six items ordered by what they cost us.  Fill in the yellow columns during the meeting.</t>
  </si>
  <si>
    <t xml:space="preserve">Every item below is either a number we derived rather than received, a figure TriNet's own paperwork states two different ways, or a service we are being sold without a price.  Ask them in this order.</t>
  </si>
  <si>
    <t xml:space="preserve">#</t>
  </si>
  <si>
    <t xml:space="preserve">Group</t>
  </si>
  <si>
    <t xml:space="preserve">Priority</t>
  </si>
  <si>
    <t xml:space="preserve">Question to ask</t>
  </si>
  <si>
    <t xml:space="preserve">Why it matters</t>
  </si>
  <si>
    <t xml:space="preserve">What we already hold</t>
  </si>
  <si>
    <t xml:space="preserve">At stake ($/yr)</t>
  </si>
  <si>
    <t xml:space="preserve">Type of exposure</t>
  </si>
  <si>
    <t xml:space="preserve">ANSWER</t>
  </si>
  <si>
    <t xml:space="preserve">In writing?</t>
  </si>
  <si>
    <t xml:space="preserve">Status</t>
  </si>
  <si>
    <t xml:space="preserve">Follow-up owed</t>
  </si>
  <si>
    <t xml:space="preserve">1. FEES AND WHAT WE MUST PAY</t>
  </si>
  <si>
    <t xml:space="preserve">Fees and what we must pay</t>
  </si>
  <si>
    <t xml:space="preserve">Ask first</t>
  </si>
  <si>
    <t xml:space="preserve">Which service fee applies to us at five employees - $930 a month or $1,200? Is the $1,200 minimum negotiable, and at what headcount do we stop paying a minimum and start paying per employee?</t>
  </si>
  <si>
    <t xml:space="preserve">Your fee table produces $11,160 a year. Your footnote and your own cost model both produce $14,400.</t>
  </si>
  <si>
    <t xml:space="preserve">$14,400 was decomposed out of TriNet's $54,367.45 total, so their model uses the higher figure.</t>
  </si>
  <si>
    <t xml:space="preserve">Hard cost in dispute</t>
  </si>
  <si>
    <t xml:space="preserve">Open</t>
  </si>
  <si>
    <t xml:space="preserve">Get the applicable fee stated in the service agreement, not the proposal.</t>
  </si>
  <si>
    <t xml:space="preserve">Is Josephine billed the service fee even though she waives medical, dental and vision?</t>
  </si>
  <si>
    <t xml:space="preserve">Five on payroll, four enrolling. If the fee is per worksite employee rather than per enrollee, the per-head math we were shown is understated.</t>
  </si>
  <si>
    <t xml:space="preserve">Nothing. Not addressed in any TriNet document we hold.</t>
  </si>
  <si>
    <t xml:space="preserve">1 of 5 billable</t>
  </si>
  <si>
    <t xml:space="preserve">Ask the same question about a future non-enrolling hire.</t>
  </si>
  <si>
    <t xml:space="preserve">State your employer contribution requirement in writing. Confirm that fixed dollars of $300 employee-only / $600 employee+spouse / $600 employee+child(ren) / $1,000 family satisfies it on every plan on your menu.</t>
  </si>
  <si>
    <t xml:space="preserve">We believe the rule is 70% of the employee-only rate of the cheapest plan offered - $269.50 against the ACO 6500's $385.</t>
  </si>
  <si>
    <t xml:space="preserve">Nothing in writing. We derived 70% from TriNet's own published employee contributions; it reconciles to the penny on both carriers quoted but has never been stated.</t>
  </si>
  <si>
    <t xml:space="preserve">Contribution design basis</t>
  </si>
  <si>
    <t xml:space="preserve">If the rule differs, re-run the whole employee-cost model before quoting anything to staff.</t>
  </si>
  <si>
    <t xml:space="preserve">Confirm in writing that Onyx may fund dental and vision at $0 and have employees pay 100%.</t>
  </si>
  <si>
    <t xml:space="preserve">Our notes say we are not required to fund either. Insperity imposes a $27.50 per-enrollee minimum - we do not want to discover the same after signing.</t>
  </si>
  <si>
    <t xml:space="preserve">Josephine's notes: 'dental we don't have to fund.' Not confirmed by TriNet in writing.</t>
  </si>
  <si>
    <t xml:space="preserve">Policy choice to confirm</t>
  </si>
  <si>
    <t xml:space="preserve">Get it in the agreement, not a verbal.</t>
  </si>
  <si>
    <t xml:space="preserve">Basic life and long-term disability: what exactly is mandatory, at what rate, and must it cover all five employees or only the four taking medical?</t>
  </si>
  <si>
    <t xml:space="preserve">TriNet is the only vendor of the four that requires employer-paid life. The all-five vs. four-enrollees difference is Josephine.</t>
  </si>
  <si>
    <t xml:space="preserve">Requirement is documented; the rate was never quoted.</t>
  </si>
  <si>
    <t xml:space="preserve">Rate not quoted</t>
  </si>
  <si>
    <t xml:space="preserve">Get the per-$1,000 rate and the volume basis.</t>
  </si>
  <si>
    <t xml:space="preserve">High</t>
  </si>
  <si>
    <t xml:space="preserve">Workers' compensation: what class codes do the 0.044 and 0.087 rates attach to? Is there a deposit, a minimum premium, or a year-end audit that can true up against us?</t>
  </si>
  <si>
    <t xml:space="preserve">TriNet is the only vendor that disclosed comp rates, which we credit. We need to know the exposure is fixed.</t>
  </si>
  <si>
    <t xml:space="preserve">We re-rated TriNet's own rates to Onyx's actual payroll and got $324/yr.</t>
  </si>
  <si>
    <t xml:space="preserve">Figure to verify</t>
  </si>
  <si>
    <t xml:space="preserve">Confirm the class assignment for a CPA office in AZ.</t>
  </si>
  <si>
    <t xml:space="preserve">Is there a setup or implementation fee, and is it waivable?</t>
  </si>
  <si>
    <t xml:space="preserve">Not stated anywhere in the quote. ADP and Insperity both disclosed theirs.</t>
  </si>
  <si>
    <t xml:space="preserve">Nothing.</t>
  </si>
  <si>
    <t xml:space="preserve">Unstated</t>
  </si>
  <si>
    <t xml:space="preserve">Ask for it in writing either way, including $0.</t>
  </si>
  <si>
    <t xml:space="preserve">2. RENEWAL EXPOSURE</t>
  </si>
  <si>
    <t xml:space="preserve">Renewal exposure</t>
  </si>
  <si>
    <t xml:space="preserve">What did TriNet's Aetna book actually renew at on the last two 10/1 cycles?</t>
  </si>
  <si>
    <t xml:space="preserve">The renewal mechanic is settled and we like it. We need the number, not the mechanic - the book average, not our hypothetical.</t>
  </si>
  <si>
    <t xml:space="preserve">Allison Irwin confirmed: renewals fall on the 1st month of the quarter in which you start, so a 10/1 start holds 10/1 in perpetuity.</t>
  </si>
  <si>
    <t xml:space="preserve">Year-two exposure</t>
  </si>
  <si>
    <t xml:space="preserve">If they will not give a book average, ask for their published renewal range.</t>
  </si>
  <si>
    <t xml:space="preserve">Is there any cap, corridor or rate guarantee in the agreement, or is the renewal entirely at Aetna's discretion?</t>
  </si>
  <si>
    <t xml:space="preserve">A large-group pooled rate is the main reason to be in a PEO at all. If there is no contractual limit on the increase, we need that said plainly so we can price the risk.</t>
  </si>
  <si>
    <t xml:space="preserve">Nothing. No cap language in anything we hold.</t>
  </si>
  <si>
    <t xml:space="preserve">Ask which contract section governs renewal pricing.</t>
  </si>
  <si>
    <t xml:space="preserve">Medium</t>
  </si>
  <si>
    <t xml:space="preserve">Can you re-rate us mid-term, and what triggers it?</t>
  </si>
  <si>
    <t xml:space="preserve">Two live scenarios: Josephine enrolls at family coverage, or we hire a sixth. Either is a 20-25% change in enrolled lives. Angle can re-rate on a 10% swing.</t>
  </si>
  <si>
    <t xml:space="preserve">Nothing. Not addressed.</t>
  </si>
  <si>
    <t xml:space="preserve">Conditional</t>
  </si>
  <si>
    <t xml:space="preserve">Get the enrollment-change threshold in writing.</t>
  </si>
  <si>
    <t xml:space="preserve">3. BEFORE WE QUOTE PLANS TO EMPLOYEES</t>
  </si>
  <si>
    <t xml:space="preserve">Before we quote plans to employees</t>
  </si>
  <si>
    <t xml:space="preserve">Send the Banner Health Network Arizona provider directory. What happens for out-of-area and travel care?</t>
  </si>
  <si>
    <t xml:space="preserve">The ACO 6500 is the best plan in the whole PEO field on our math - it wins both family tiers, and the plan pays 100% after deductible with a $15,000 family out-of-pocket cap. But it is a narrow network.</t>
  </si>
  <si>
    <t xml:space="preserve">Network named in the quote; no provider list supplied. Steven's and Jessica's physicians are unverified against it.</t>
  </si>
  <si>
    <t xml:space="preserve">Top-ranked plan at risk</t>
  </si>
  <si>
    <t xml:space="preserve">If Banner does not hold their doctors, the top-ranked plan comes off the table and the ranking changes.</t>
  </si>
  <si>
    <t xml:space="preserve">Do the Q-00412887 Aetna rates hold if we decline UHC entirely?</t>
  </si>
  <si>
    <t xml:space="preserve">We are only considering Aetna. Confirm the rates were not contingent on the dual-carrier strategy.</t>
  </si>
  <si>
    <t xml:space="preserve">Both carriers were quoted in one document; no statement either way on decoupling.</t>
  </si>
  <si>
    <t xml:space="preserve">Rate validity</t>
  </si>
  <si>
    <t xml:space="preserve">Get an Aetna-only rate confirmation before signing.</t>
  </si>
  <si>
    <t xml:space="preserve">How many of the sixteen Aetna plans can we actually put in front of employees, and is there a minimum enrollment per plan?</t>
  </si>
  <si>
    <t xml:space="preserve">Our notes say TriNet requires the full menu. If that is right it is a real advantage over a two-package structure - but only if there is no per-plan participation trap.</t>
  </si>
  <si>
    <t xml:space="preserve">Notes say the full menu is required. Not confirmed in writing, and no participation rule stated.</t>
  </si>
  <si>
    <t xml:space="preserve">Menu rule</t>
  </si>
  <si>
    <t xml:space="preserve">Confirm whether a plan with one enrollee stays available at renewal.</t>
  </si>
  <si>
    <t xml:space="preserve">What is the new-hire waiting period, and does Jessica have a benefit eligibility date on or before 10/1?</t>
  </si>
  <si>
    <t xml:space="preserve">Jessica is a new hire enrolling at family coverage. If she is not eligible on 10/1 the first-year cost changes.</t>
  </si>
  <si>
    <t xml:space="preserve">Nothing. Her eligibility date is unconfirmed at every vendor.</t>
  </si>
  <si>
    <t xml:space="preserve">10/1 eligibility</t>
  </si>
  <si>
    <t xml:space="preserve">Applies to ADP and Insperity too - ask all three.</t>
  </si>
  <si>
    <t xml:space="preserve">On the HSA plans: who administers the account, what does it cost the employee, and can Onyx seed it?</t>
  </si>
  <si>
    <t xml:space="preserve">Six of the sixteen plans are HSA-qualified, including the HDHP 6350 - the lowest total worst case of any PEO plan we modeled. Account fees change that answer.</t>
  </si>
  <si>
    <t xml:space="preserve">No HSA administrator or fee disclosed. HSA funding is deliberately not modeled in our workbook - we cannot know what employees will choose to fund.</t>
  </si>
  <si>
    <t xml:space="preserve">Account fees unknown</t>
  </si>
  <si>
    <t xml:space="preserve">Get the custodian name and the monthly account fee.</t>
  </si>
  <si>
    <t xml:space="preserve">4. 401(K)</t>
  </si>
  <si>
    <t xml:space="preserve">401(k)</t>
  </si>
  <si>
    <t xml:space="preserve">What is the all-in expense ratio of your target-date series, and does the $63 participant fee come out on top of it?</t>
  </si>
  <si>
    <t xml:space="preserve">One number settles retirement. We do not need the whole lineup - a five-person plan will sit almost entirely in the target-date funds. A 0.14% menu average is implausible for a lineup carrying American Funds and PIMCO.</t>
  </si>
  <si>
    <t xml:space="preserve">ADP has now published its full schedule in a DOL 404a-5 disclosure: target-date 0.48% all-in, NO participant account fee, recordkeeping funded by a 0.22% credit inside the funds. The $63 sets the crossover - if 0.14% is real TriNet wins above roughly $18,500 of balance; if their target-date is nearer 0.35% they are level with ADP at $50,000.</t>
  </si>
  <si>
    <t xml:space="preserve">Settles retirement</t>
  </si>
  <si>
    <t xml:space="preserve">Get the target-date figure in writing, not a plan average.</t>
  </si>
  <si>
    <t xml:space="preserve">When does the $150 per hour for contribution allocation actually apply, and how many hours would a five-person plan with a match run in a year?</t>
  </si>
  <si>
    <t xml:space="preserve">Your own cost flyer lists no setup and no maintenance fee - but $1,000 to terminate, $150 per amendment, and $150 an hour for match, profit-sharing and true-up allocations. An owner-heavy S-corp plan needs that work every year, so 'no employer cost' is not accurate as written.</t>
  </si>
  <si>
    <t xml:space="preserve">TriNet cost flyer, fees as of 01/2025. ADP discloses no employer charge of any kind - no setup, no recurring, no termination fee. These three items are now the whole difference between them on retirement cost.</t>
  </si>
  <si>
    <t xml:space="preserve">$150/hr + $1,000 exit</t>
  </si>
  <si>
    <t xml:space="preserve">Ask for an annual dollar estimate, not just the hourly rate.</t>
  </si>
  <si>
    <t xml:space="preserve">As a multiple-employer plan where TriNet is the plan sponsor, does Onyx still qualify for the SECURE 2.0 startup and auto-enrollment credits?</t>
  </si>
  <si>
    <t xml:space="preserve">A real question, not a rhetorical one. The credits are worth meaningful money to a five-person firm and the answer depends on the plan structure, not on us.</t>
  </si>
  <si>
    <t xml:space="preserve">Nothing, from either vendor. ADP is also a MEP with the PEO as plan sponsor, so the identical question goes to them and to our tax preparer.</t>
  </si>
  <si>
    <t xml:space="preserve">Tax credits</t>
  </si>
  <si>
    <t xml:space="preserve">Worth up to $5,000/yr for three years plus $500/yr for auto-enrollment. If both MEPs disqualify us, price a standalone plan.</t>
  </si>
  <si>
    <t xml:space="preserve">Earliest realistic effective date, plus eligibility, entry dates, and whether Steven as 100% owner creates a top-heavy problem.</t>
  </si>
  <si>
    <t xml:space="preserve">Our read is that a 10/1 401(k) start alongside the medical is not achievable. Tell us the real date so we stop planning around it.</t>
  </si>
  <si>
    <t xml:space="preserve">Our own assessment only. TriNet has not stated a timeline.</t>
  </si>
  <si>
    <t xml:space="preserve">Timing</t>
  </si>
  <si>
    <t xml:space="preserve">Decide whether the 401(k) is a 1/1/2027 project once we have the date.</t>
  </si>
  <si>
    <t xml:space="preserve">5. SERVICES WE ARE GENUINELY SHOPPING</t>
  </si>
  <si>
    <t xml:space="preserve">Services we are genuinely shopping</t>
  </si>
  <si>
    <t xml:space="preserve">Electric IT: price the upgrade tiers above the basic plan, with real numbers.</t>
  </si>
  <si>
    <t xml:space="preserve">We spend nothing on IT today and need it. Basic will not be enough for us. This is the only capability on TriNet's list that nobody else offers.</t>
  </si>
  <si>
    <t xml:space="preserve">Electric is bundled at a basic tier. Upgrade pricing is entirely open.</t>
  </si>
  <si>
    <t xml:space="preserve">New money either way</t>
  </si>
  <si>
    <t xml:space="preserve">This is new spend regardless of vendor - price it standalone too, so we know the PEO markup.</t>
  </si>
  <si>
    <t xml:space="preserve">TriNetExpense / Ramp: what does it cost us, what does it cost our clients, and what does the referral arrangement pay?</t>
  </si>
  <si>
    <t xml:space="preserve">We are moving toward Ramp. Our Bill.com account is free but our clients pay monthly - so client economics matter as much as ours.</t>
  </si>
  <si>
    <t xml:space="preserve">Listed as an included capability. No pricing, no referral terms.</t>
  </si>
  <si>
    <t xml:space="preserve">Client-facing</t>
  </si>
  <si>
    <t xml:space="preserve">Get client pricing in writing - we would be recommending it.</t>
  </si>
  <si>
    <t xml:space="preserve">TriNet Perks: what is actually in the 'company Groupon', what does it cost, and is it live in Arizona?</t>
  </si>
  <si>
    <t xml:space="preserve">Described verbally as discounted rental cars, gym memberships and other consumer offers. Real value to five employees is unknown until we see the catalog.</t>
  </si>
  <si>
    <t xml:space="preserve">Verbal description only. No catalog, no vendor list, no cost.</t>
  </si>
  <si>
    <t xml:space="preserve">Unpriced perk</t>
  </si>
  <si>
    <t xml:space="preserve">Ask for the actual catalog, not a category list.</t>
  </si>
  <si>
    <t xml:space="preserve">Low</t>
  </si>
  <si>
    <t xml:space="preserve">TriNetTime: can it be customized enough to replace Harvest?</t>
  </si>
  <si>
    <t xml:space="preserve">Our read is probably not - our time tracking needs customization. Tell us if we are wrong.</t>
  </si>
  <si>
    <t xml:space="preserve">Listed as an included capability. No customization detail.</t>
  </si>
  <si>
    <t xml:space="preserve">Possible Harvest offset</t>
  </si>
  <si>
    <t xml:space="preserve">If it cannot replace Harvest, stop counting it as value.</t>
  </si>
  <si>
    <t xml:space="preserve">What does the referral partnership agreement actually pay, and does participating in it affect our own pricing?</t>
  </si>
  <si>
    <t xml:space="preserve">TriNet has given us their full scope specifically because they want us referring clients. We need the arrangement documented and the conflict named.</t>
  </si>
  <si>
    <t xml:space="preserve">Verbal only. No agreement, no compensation schedule.</t>
  </si>
  <si>
    <t xml:space="preserve">Conflict to document</t>
  </si>
  <si>
    <t xml:space="preserve">Get the agreement before we sign the PEO contract, not after.</t>
  </si>
  <si>
    <t xml:space="preserve">6. EXIT AND LIABILITY</t>
  </si>
  <si>
    <t xml:space="preserve">Exit and liability</t>
  </si>
  <si>
    <t xml:space="preserve">If we leave at a renewal: what notice is required, do we get claims and loss experience data, and does Aetna issue a certificate of prior coverage?</t>
  </si>
  <si>
    <t xml:space="preserve">A PEO that will not hand back experience data makes the next shopping cycle blind. This is the question that decides how trapped we are.</t>
  </si>
  <si>
    <t xml:space="preserve">Nothing. Termination terms not addressed in the proposal.</t>
  </si>
  <si>
    <t xml:space="preserve">Exit terms</t>
  </si>
  <si>
    <t xml:space="preserve">Ask the same of ADP and Insperity - it is a differentiator nobody has volunteered.</t>
  </si>
  <si>
    <t xml:space="preserve">EPLI: is the $1,000,000 per claim or aggregate, and does it cover acts during the term after we terminate?</t>
  </si>
  <si>
    <t xml:space="preserve">The limit is stated but the structure is not. Tail coverage is the part that matters if we ever leave.</t>
  </si>
  <si>
    <t xml:space="preserve">'EPLI $1,000,000' stated in the TriNet materials. Limit structure not stated.</t>
  </si>
  <si>
    <t xml:space="preserve">Coverage structure</t>
  </si>
  <si>
    <t xml:space="preserve">Get the policy form or a certificate.</t>
  </si>
  <si>
    <t xml:space="preserve">Yellow columns are yours to fill in.  'In writing?' and 'Status' are dropdowns.  Nothing on this sheet is a formula except the tallies on the Summary tab.</t>
  </si>
  <si>
    <t xml:space="preserve">Do not compare TriNet's figures for Onyx's CURRENT costs - those numbers were invented.  Keep the conversation on TriNet's own pricing.</t>
  </si>
  <si>
    <t xml:space="preserve">Where this stands</t>
  </si>
  <si>
    <t xml:space="preserve">Tallies update as you fill in the Questions tab.</t>
  </si>
  <si>
    <t xml:space="preserve">PROGRESS</t>
  </si>
  <si>
    <t xml:space="preserve">Count</t>
  </si>
  <si>
    <t xml:space="preserve">Of the 26 questions</t>
  </si>
  <si>
    <t xml:space="preserve">Answered</t>
  </si>
  <si>
    <t xml:space="preserve">Partial</t>
  </si>
  <si>
    <t xml:space="preserve">Refused</t>
  </si>
  <si>
    <t xml:space="preserve">Not applicable</t>
  </si>
  <si>
    <t xml:space="preserve">MONEY ON THE TABLE  (these are different kinds of exposure - do not add them together)</t>
  </si>
  <si>
    <t xml:space="preserve">$/yr</t>
  </si>
  <si>
    <t xml:space="preserve">Questions</t>
  </si>
  <si>
    <t xml:space="preserve">What it means</t>
  </si>
  <si>
    <t xml:space="preserve">Real dollars TriNet's own documents state two different ways.</t>
  </si>
  <si>
    <t xml:space="preserve">Ours to decide, but only once TriNet confirms $0 funding is permitted.</t>
  </si>
  <si>
    <t xml:space="preserve">Our re-rate of TriNet's disclosed rates. Confirm the basis.</t>
  </si>
  <si>
    <t xml:space="preserve">Not at risk - but the entire $34,800 design rests on a floor rule we derived, not received.</t>
  </si>
  <si>
    <t xml:space="preserve">Only lands if Josephine enrolls at family coverage.</t>
  </si>
  <si>
    <t xml:space="preserve">Hard cost + policy choice, combined</t>
  </si>
  <si>
    <t xml:space="preserve">The only two lines that are genuinely undetermined dollars against a signed decision.</t>
  </si>
  <si>
    <t xml:space="preserve">BEFORE YOU LEAVE THE ROOM</t>
  </si>
  <si>
    <t xml:space="preserve">1.</t>
  </si>
  <si>
    <t xml:space="preserve">Get the floor rule and the service fee in writing, in the meeting.</t>
  </si>
  <si>
    <t xml:space="preserve">Everything else can follow by email. Those two decide whether TriNet is competitive at all.</t>
  </si>
  <si>
    <t xml:space="preserve">2.</t>
  </si>
  <si>
    <t xml:space="preserve">Ask what happens if we leave.</t>
  </si>
  <si>
    <t xml:space="preserve">Notice required at a renewal, whether we get claims and loss experience data, and whether Aetna issues a certificate of prior coverage. A PEO that will not hand back experience data makes the next shopping cycle blind.</t>
  </si>
  <si>
    <t xml:space="preserve">3.</t>
  </si>
  <si>
    <t xml:space="preserve">Pin the EPLI structure.</t>
  </si>
  <si>
    <t xml:space="preserve">$1,000,000 is stated - per claim or aggregate, and does it cover acts during the term after we terminate?</t>
  </si>
  <si>
    <t xml:space="preserve">4.</t>
  </si>
  <si>
    <t xml:space="preserve">Do not compare their figures for our current costs.</t>
  </si>
  <si>
    <t xml:space="preserve">Those numbers were invented. Keep the conversation on their own pricing.</t>
  </si>
  <si>
    <t xml:space="preserve">SOURCES AND WHAT WE HOLD</t>
  </si>
  <si>
    <t xml:space="preserve">TriNet quote Q-00412887 - Aetna and UHC strategies, plan designs and tier rates.</t>
  </si>
  <si>
    <t xml:space="preserve">TriNet VROI - service fee table and the footnote that contradicts it.</t>
  </si>
  <si>
    <t xml:space="preserve">TriNet 401(k) materials - Empower as recordkeeper, TriNet as plan sponsor, 0.14% average with no lineup behind it.</t>
  </si>
  <si>
    <t xml:space="preserve">Allison Irwin, TriNet - renewals fall on the 1st month of the quarter in which you start, so a 10/1 start holds 10/1 in perpetuity.</t>
  </si>
  <si>
    <t xml:space="preserve">Josephine's own notes - dental not required to be employer-funded; Electric basic tier insufficient; Perks described verbally as a 'company Groupon'.</t>
  </si>
  <si>
    <t xml:space="preserve">Every dollar figure was re-rated to Onyx's actual enrollment - Lisa employee-only, Christine employee+spouse, Steven and Jessica family, Josephine waiving. No vendor priced this group correctly.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</si>
</sst>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9"/>
      <color rgb="FF8E2F2A"/>
      <name val="Arial"/>
      <family val="0"/>
      <charset val="1"/>
    </font>
    <font>
      <b val="true"/>
      <sz val="11"/>
      <color rgb="FF8E2F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191C"/>
        <bgColor rgb="FF000000"/>
      </patternFill>
    </fill>
    <fill>
      <patternFill patternType="solid">
        <fgColor rgb="FF8E2F2A"/>
        <bgColor rgb="FF99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8E2F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5191C"/>
          <bgColor rgb="FF000000"/>
        </patternFill>
      </fill>
    </dxf>
    <dxf>
      <fill>
        <patternFill patternType="solid">
          <fgColor rgb="FF8E2F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5191C"/>
      <rgbColor rgb="FF333300"/>
      <rgbColor rgb="FF8E2F2A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56"/>
    <col collapsed="false" customWidth="true" hidden="false" outlineLevel="0" max="5" min="5" style="0" width="5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4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3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9.5" hidden="false" customHeight="true" outlineLevel="0" collapsed="false">
      <c r="A6" s="4" t="s">
        <v>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78" hidden="false" customHeight="true" outlineLevel="0" collapsed="false">
      <c r="A7" s="6" t="n">
        <v>1</v>
      </c>
      <c r="B7" s="7" t="s">
        <v>16</v>
      </c>
      <c r="C7" s="6" t="s">
        <v>17</v>
      </c>
      <c r="D7" s="8" t="s">
        <v>18</v>
      </c>
      <c r="E7" s="9" t="s">
        <v>19</v>
      </c>
      <c r="F7" s="9" t="s">
        <v>20</v>
      </c>
      <c r="G7" s="10" t="n">
        <v>3240</v>
      </c>
      <c r="H7" s="9" t="s">
        <v>21</v>
      </c>
      <c r="I7" s="11"/>
      <c r="J7" s="12"/>
      <c r="K7" s="12" t="s">
        <v>22</v>
      </c>
      <c r="L7" s="9" t="s">
        <v>23</v>
      </c>
    </row>
    <row r="8" customFormat="false" ht="78" hidden="false" customHeight="true" outlineLevel="0" collapsed="false">
      <c r="A8" s="6" t="n">
        <v>2</v>
      </c>
      <c r="B8" s="7" t="s">
        <v>16</v>
      </c>
      <c r="C8" s="6" t="s">
        <v>17</v>
      </c>
      <c r="D8" s="8" t="s">
        <v>24</v>
      </c>
      <c r="E8" s="9" t="s">
        <v>25</v>
      </c>
      <c r="F8" s="9" t="s">
        <v>26</v>
      </c>
      <c r="G8" s="10"/>
      <c r="H8" s="9" t="s">
        <v>27</v>
      </c>
      <c r="I8" s="11"/>
      <c r="J8" s="12"/>
      <c r="K8" s="12" t="s">
        <v>22</v>
      </c>
      <c r="L8" s="9" t="s">
        <v>28</v>
      </c>
    </row>
    <row r="9" customFormat="false" ht="78" hidden="false" customHeight="true" outlineLevel="0" collapsed="false">
      <c r="A9" s="6" t="n">
        <v>3</v>
      </c>
      <c r="B9" s="7" t="s">
        <v>16</v>
      </c>
      <c r="C9" s="6" t="s">
        <v>17</v>
      </c>
      <c r="D9" s="8" t="s">
        <v>29</v>
      </c>
      <c r="E9" s="9" t="s">
        <v>30</v>
      </c>
      <c r="F9" s="9" t="s">
        <v>31</v>
      </c>
      <c r="G9" s="10" t="n">
        <v>34800</v>
      </c>
      <c r="H9" s="9" t="s">
        <v>32</v>
      </c>
      <c r="I9" s="11"/>
      <c r="J9" s="12"/>
      <c r="K9" s="12" t="s">
        <v>22</v>
      </c>
      <c r="L9" s="9" t="s">
        <v>33</v>
      </c>
    </row>
    <row r="10" customFormat="false" ht="78" hidden="false" customHeight="true" outlineLevel="0" collapsed="false">
      <c r="A10" s="6" t="n">
        <v>4</v>
      </c>
      <c r="B10" s="7" t="s">
        <v>16</v>
      </c>
      <c r="C10" s="6" t="s">
        <v>17</v>
      </c>
      <c r="D10" s="8" t="s">
        <v>34</v>
      </c>
      <c r="E10" s="9" t="s">
        <v>35</v>
      </c>
      <c r="F10" s="9" t="s">
        <v>36</v>
      </c>
      <c r="G10" s="10" t="n">
        <v>1320</v>
      </c>
      <c r="H10" s="9" t="s">
        <v>37</v>
      </c>
      <c r="I10" s="11"/>
      <c r="J10" s="12"/>
      <c r="K10" s="12" t="s">
        <v>22</v>
      </c>
      <c r="L10" s="9" t="s">
        <v>38</v>
      </c>
    </row>
    <row r="11" customFormat="false" ht="78" hidden="false" customHeight="true" outlineLevel="0" collapsed="false">
      <c r="A11" s="6" t="n">
        <v>5</v>
      </c>
      <c r="B11" s="7" t="s">
        <v>16</v>
      </c>
      <c r="C11" s="6" t="s">
        <v>17</v>
      </c>
      <c r="D11" s="8" t="s">
        <v>39</v>
      </c>
      <c r="E11" s="9" t="s">
        <v>40</v>
      </c>
      <c r="F11" s="9" t="s">
        <v>41</v>
      </c>
      <c r="G11" s="10"/>
      <c r="H11" s="9" t="s">
        <v>42</v>
      </c>
      <c r="I11" s="11"/>
      <c r="J11" s="12"/>
      <c r="K11" s="12" t="s">
        <v>22</v>
      </c>
      <c r="L11" s="9" t="s">
        <v>43</v>
      </c>
    </row>
    <row r="12" customFormat="false" ht="78" hidden="false" customHeight="true" outlineLevel="0" collapsed="false">
      <c r="A12" s="6" t="n">
        <v>6</v>
      </c>
      <c r="B12" s="7" t="s">
        <v>16</v>
      </c>
      <c r="C12" s="6" t="s">
        <v>44</v>
      </c>
      <c r="D12" s="8" t="s">
        <v>45</v>
      </c>
      <c r="E12" s="9" t="s">
        <v>46</v>
      </c>
      <c r="F12" s="9" t="s">
        <v>47</v>
      </c>
      <c r="G12" s="10" t="n">
        <v>324</v>
      </c>
      <c r="H12" s="9" t="s">
        <v>48</v>
      </c>
      <c r="I12" s="11"/>
      <c r="J12" s="12"/>
      <c r="K12" s="12" t="s">
        <v>22</v>
      </c>
      <c r="L12" s="9" t="s">
        <v>49</v>
      </c>
    </row>
    <row r="13" customFormat="false" ht="78" hidden="false" customHeight="true" outlineLevel="0" collapsed="false">
      <c r="A13" s="6" t="n">
        <v>7</v>
      </c>
      <c r="B13" s="7" t="s">
        <v>16</v>
      </c>
      <c r="C13" s="6" t="s">
        <v>44</v>
      </c>
      <c r="D13" s="8" t="s">
        <v>50</v>
      </c>
      <c r="E13" s="9" t="s">
        <v>51</v>
      </c>
      <c r="F13" s="9" t="s">
        <v>52</v>
      </c>
      <c r="G13" s="10"/>
      <c r="H13" s="9" t="s">
        <v>53</v>
      </c>
      <c r="I13" s="11"/>
      <c r="J13" s="12"/>
      <c r="K13" s="12" t="s">
        <v>22</v>
      </c>
      <c r="L13" s="9" t="s">
        <v>54</v>
      </c>
    </row>
    <row r="14" customFormat="false" ht="19.5" hidden="false" customHeight="true" outlineLevel="0" collapsed="false">
      <c r="A14" s="4" t="s">
        <v>55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78" hidden="false" customHeight="true" outlineLevel="0" collapsed="false">
      <c r="A15" s="6" t="n">
        <v>8</v>
      </c>
      <c r="B15" s="7" t="s">
        <v>56</v>
      </c>
      <c r="C15" s="6" t="s">
        <v>44</v>
      </c>
      <c r="D15" s="8" t="s">
        <v>57</v>
      </c>
      <c r="E15" s="9" t="s">
        <v>58</v>
      </c>
      <c r="F15" s="9" t="s">
        <v>59</v>
      </c>
      <c r="G15" s="10"/>
      <c r="H15" s="9" t="s">
        <v>60</v>
      </c>
      <c r="I15" s="11"/>
      <c r="J15" s="12"/>
      <c r="K15" s="12" t="s">
        <v>22</v>
      </c>
      <c r="L15" s="9" t="s">
        <v>61</v>
      </c>
    </row>
    <row r="16" customFormat="false" ht="78" hidden="false" customHeight="true" outlineLevel="0" collapsed="false">
      <c r="A16" s="6" t="n">
        <v>9</v>
      </c>
      <c r="B16" s="7" t="s">
        <v>56</v>
      </c>
      <c r="C16" s="6" t="s">
        <v>44</v>
      </c>
      <c r="D16" s="8" t="s">
        <v>62</v>
      </c>
      <c r="E16" s="9" t="s">
        <v>63</v>
      </c>
      <c r="F16" s="9" t="s">
        <v>64</v>
      </c>
      <c r="G16" s="10"/>
      <c r="H16" s="9" t="s">
        <v>60</v>
      </c>
      <c r="I16" s="11"/>
      <c r="J16" s="12"/>
      <c r="K16" s="12" t="s">
        <v>22</v>
      </c>
      <c r="L16" s="9" t="s">
        <v>65</v>
      </c>
    </row>
    <row r="17" customFormat="false" ht="78" hidden="false" customHeight="true" outlineLevel="0" collapsed="false">
      <c r="A17" s="6" t="n">
        <v>10</v>
      </c>
      <c r="B17" s="7" t="s">
        <v>56</v>
      </c>
      <c r="C17" s="6" t="s">
        <v>66</v>
      </c>
      <c r="D17" s="8" t="s">
        <v>67</v>
      </c>
      <c r="E17" s="9" t="s">
        <v>68</v>
      </c>
      <c r="F17" s="9" t="s">
        <v>69</v>
      </c>
      <c r="G17" s="10" t="n">
        <v>12000</v>
      </c>
      <c r="H17" s="9" t="s">
        <v>70</v>
      </c>
      <c r="I17" s="11"/>
      <c r="J17" s="12"/>
      <c r="K17" s="12" t="s">
        <v>22</v>
      </c>
      <c r="L17" s="9" t="s">
        <v>71</v>
      </c>
    </row>
    <row r="18" customFormat="false" ht="19.5" hidden="false" customHeight="true" outlineLevel="0" collapsed="false">
      <c r="A18" s="4" t="s">
        <v>72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78" hidden="false" customHeight="true" outlineLevel="0" collapsed="false">
      <c r="A19" s="6" t="n">
        <v>11</v>
      </c>
      <c r="B19" s="7" t="s">
        <v>73</v>
      </c>
      <c r="C19" s="6" t="s">
        <v>44</v>
      </c>
      <c r="D19" s="8" t="s">
        <v>74</v>
      </c>
      <c r="E19" s="9" t="s">
        <v>75</v>
      </c>
      <c r="F19" s="9" t="s">
        <v>76</v>
      </c>
      <c r="G19" s="10"/>
      <c r="H19" s="9" t="s">
        <v>77</v>
      </c>
      <c r="I19" s="11"/>
      <c r="J19" s="12"/>
      <c r="K19" s="12" t="s">
        <v>22</v>
      </c>
      <c r="L19" s="9" t="s">
        <v>78</v>
      </c>
    </row>
    <row r="20" customFormat="false" ht="78" hidden="false" customHeight="true" outlineLevel="0" collapsed="false">
      <c r="A20" s="6" t="n">
        <v>12</v>
      </c>
      <c r="B20" s="7" t="s">
        <v>73</v>
      </c>
      <c r="C20" s="6" t="s">
        <v>44</v>
      </c>
      <c r="D20" s="8" t="s">
        <v>79</v>
      </c>
      <c r="E20" s="9" t="s">
        <v>80</v>
      </c>
      <c r="F20" s="9" t="s">
        <v>81</v>
      </c>
      <c r="G20" s="10"/>
      <c r="H20" s="9" t="s">
        <v>82</v>
      </c>
      <c r="I20" s="11"/>
      <c r="J20" s="12"/>
      <c r="K20" s="12" t="s">
        <v>22</v>
      </c>
      <c r="L20" s="9" t="s">
        <v>83</v>
      </c>
    </row>
    <row r="21" customFormat="false" ht="78" hidden="false" customHeight="true" outlineLevel="0" collapsed="false">
      <c r="A21" s="6" t="n">
        <v>13</v>
      </c>
      <c r="B21" s="7" t="s">
        <v>73</v>
      </c>
      <c r="C21" s="6" t="s">
        <v>66</v>
      </c>
      <c r="D21" s="8" t="s">
        <v>84</v>
      </c>
      <c r="E21" s="9" t="s">
        <v>85</v>
      </c>
      <c r="F21" s="9" t="s">
        <v>86</v>
      </c>
      <c r="G21" s="10"/>
      <c r="H21" s="9" t="s">
        <v>87</v>
      </c>
      <c r="I21" s="11"/>
      <c r="J21" s="12"/>
      <c r="K21" s="12" t="s">
        <v>22</v>
      </c>
      <c r="L21" s="9" t="s">
        <v>88</v>
      </c>
    </row>
    <row r="22" customFormat="false" ht="78" hidden="false" customHeight="true" outlineLevel="0" collapsed="false">
      <c r="A22" s="6" t="n">
        <v>14</v>
      </c>
      <c r="B22" s="7" t="s">
        <v>73</v>
      </c>
      <c r="C22" s="6" t="s">
        <v>66</v>
      </c>
      <c r="D22" s="8" t="s">
        <v>89</v>
      </c>
      <c r="E22" s="9" t="s">
        <v>90</v>
      </c>
      <c r="F22" s="9" t="s">
        <v>91</v>
      </c>
      <c r="G22" s="10"/>
      <c r="H22" s="9" t="s">
        <v>92</v>
      </c>
      <c r="I22" s="11"/>
      <c r="J22" s="12"/>
      <c r="K22" s="12" t="s">
        <v>22</v>
      </c>
      <c r="L22" s="9" t="s">
        <v>93</v>
      </c>
    </row>
    <row r="23" customFormat="false" ht="78" hidden="false" customHeight="true" outlineLevel="0" collapsed="false">
      <c r="A23" s="6" t="n">
        <v>15</v>
      </c>
      <c r="B23" s="7" t="s">
        <v>73</v>
      </c>
      <c r="C23" s="6" t="s">
        <v>66</v>
      </c>
      <c r="D23" s="8" t="s">
        <v>94</v>
      </c>
      <c r="E23" s="9" t="s">
        <v>95</v>
      </c>
      <c r="F23" s="9" t="s">
        <v>96</v>
      </c>
      <c r="G23" s="10"/>
      <c r="H23" s="9" t="s">
        <v>97</v>
      </c>
      <c r="I23" s="11"/>
      <c r="J23" s="12"/>
      <c r="K23" s="12" t="s">
        <v>22</v>
      </c>
      <c r="L23" s="9" t="s">
        <v>98</v>
      </c>
    </row>
    <row r="24" customFormat="false" ht="19.5" hidden="false" customHeight="true" outlineLevel="0" collapsed="false">
      <c r="A24" s="4" t="s">
        <v>99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78" hidden="false" customHeight="true" outlineLevel="0" collapsed="false">
      <c r="A25" s="6" t="n">
        <v>16</v>
      </c>
      <c r="B25" s="7" t="s">
        <v>100</v>
      </c>
      <c r="C25" s="6" t="s">
        <v>17</v>
      </c>
      <c r="D25" s="8" t="s">
        <v>101</v>
      </c>
      <c r="E25" s="9" t="s">
        <v>102</v>
      </c>
      <c r="F25" s="9" t="s">
        <v>103</v>
      </c>
      <c r="G25" s="10"/>
      <c r="H25" s="9" t="s">
        <v>104</v>
      </c>
      <c r="I25" s="11"/>
      <c r="J25" s="12"/>
      <c r="K25" s="12" t="s">
        <v>22</v>
      </c>
      <c r="L25" s="9" t="s">
        <v>105</v>
      </c>
    </row>
    <row r="26" customFormat="false" ht="78" hidden="false" customHeight="true" outlineLevel="0" collapsed="false">
      <c r="A26" s="6" t="n">
        <v>17</v>
      </c>
      <c r="B26" s="7" t="s">
        <v>100</v>
      </c>
      <c r="C26" s="6" t="s">
        <v>44</v>
      </c>
      <c r="D26" s="8" t="s">
        <v>106</v>
      </c>
      <c r="E26" s="9" t="s">
        <v>107</v>
      </c>
      <c r="F26" s="9" t="s">
        <v>108</v>
      </c>
      <c r="G26" s="10"/>
      <c r="H26" s="9" t="s">
        <v>109</v>
      </c>
      <c r="I26" s="11"/>
      <c r="J26" s="12"/>
      <c r="K26" s="12" t="s">
        <v>22</v>
      </c>
      <c r="L26" s="9" t="s">
        <v>110</v>
      </c>
    </row>
    <row r="27" customFormat="false" ht="78" hidden="false" customHeight="true" outlineLevel="0" collapsed="false">
      <c r="A27" s="6" t="n">
        <v>18</v>
      </c>
      <c r="B27" s="7" t="s">
        <v>100</v>
      </c>
      <c r="C27" s="6" t="s">
        <v>44</v>
      </c>
      <c r="D27" s="8" t="s">
        <v>111</v>
      </c>
      <c r="E27" s="9" t="s">
        <v>112</v>
      </c>
      <c r="F27" s="9" t="s">
        <v>113</v>
      </c>
      <c r="G27" s="10"/>
      <c r="H27" s="9" t="s">
        <v>114</v>
      </c>
      <c r="I27" s="11"/>
      <c r="J27" s="12"/>
      <c r="K27" s="12" t="s">
        <v>22</v>
      </c>
      <c r="L27" s="9" t="s">
        <v>115</v>
      </c>
    </row>
    <row r="28" customFormat="false" ht="78" hidden="false" customHeight="true" outlineLevel="0" collapsed="false">
      <c r="A28" s="6" t="n">
        <v>19</v>
      </c>
      <c r="B28" s="7" t="s">
        <v>100</v>
      </c>
      <c r="C28" s="6" t="s">
        <v>66</v>
      </c>
      <c r="D28" s="8" t="s">
        <v>116</v>
      </c>
      <c r="E28" s="9" t="s">
        <v>117</v>
      </c>
      <c r="F28" s="9" t="s">
        <v>118</v>
      </c>
      <c r="G28" s="10"/>
      <c r="H28" s="9" t="s">
        <v>119</v>
      </c>
      <c r="I28" s="11"/>
      <c r="J28" s="12"/>
      <c r="K28" s="12" t="s">
        <v>22</v>
      </c>
      <c r="L28" s="9" t="s">
        <v>120</v>
      </c>
    </row>
    <row r="29" customFormat="false" ht="19.5" hidden="false" customHeight="true" outlineLevel="0" collapsed="false">
      <c r="A29" s="4" t="s">
        <v>121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78" hidden="false" customHeight="true" outlineLevel="0" collapsed="false">
      <c r="A30" s="6" t="n">
        <v>20</v>
      </c>
      <c r="B30" s="7" t="s">
        <v>122</v>
      </c>
      <c r="C30" s="6" t="s">
        <v>44</v>
      </c>
      <c r="D30" s="8" t="s">
        <v>123</v>
      </c>
      <c r="E30" s="9" t="s">
        <v>124</v>
      </c>
      <c r="F30" s="9" t="s">
        <v>125</v>
      </c>
      <c r="G30" s="10"/>
      <c r="H30" s="9" t="s">
        <v>126</v>
      </c>
      <c r="I30" s="11"/>
      <c r="J30" s="12"/>
      <c r="K30" s="12" t="s">
        <v>22</v>
      </c>
      <c r="L30" s="9" t="s">
        <v>127</v>
      </c>
    </row>
    <row r="31" customFormat="false" ht="78" hidden="false" customHeight="true" outlineLevel="0" collapsed="false">
      <c r="A31" s="6" t="n">
        <v>21</v>
      </c>
      <c r="B31" s="7" t="s">
        <v>122</v>
      </c>
      <c r="C31" s="6" t="s">
        <v>66</v>
      </c>
      <c r="D31" s="8" t="s">
        <v>128</v>
      </c>
      <c r="E31" s="9" t="s">
        <v>129</v>
      </c>
      <c r="F31" s="9" t="s">
        <v>130</v>
      </c>
      <c r="G31" s="10"/>
      <c r="H31" s="9" t="s">
        <v>131</v>
      </c>
      <c r="I31" s="11"/>
      <c r="J31" s="12"/>
      <c r="K31" s="12" t="s">
        <v>22</v>
      </c>
      <c r="L31" s="9" t="s">
        <v>132</v>
      </c>
    </row>
    <row r="32" customFormat="false" ht="78" hidden="false" customHeight="true" outlineLevel="0" collapsed="false">
      <c r="A32" s="6" t="n">
        <v>22</v>
      </c>
      <c r="B32" s="7" t="s">
        <v>122</v>
      </c>
      <c r="C32" s="6" t="s">
        <v>66</v>
      </c>
      <c r="D32" s="8" t="s">
        <v>133</v>
      </c>
      <c r="E32" s="9" t="s">
        <v>134</v>
      </c>
      <c r="F32" s="9" t="s">
        <v>135</v>
      </c>
      <c r="G32" s="10"/>
      <c r="H32" s="9" t="s">
        <v>136</v>
      </c>
      <c r="I32" s="11"/>
      <c r="J32" s="12"/>
      <c r="K32" s="12" t="s">
        <v>22</v>
      </c>
      <c r="L32" s="9" t="s">
        <v>137</v>
      </c>
    </row>
    <row r="33" customFormat="false" ht="78" hidden="false" customHeight="true" outlineLevel="0" collapsed="false">
      <c r="A33" s="6" t="n">
        <v>23</v>
      </c>
      <c r="B33" s="7" t="s">
        <v>122</v>
      </c>
      <c r="C33" s="6" t="s">
        <v>138</v>
      </c>
      <c r="D33" s="8" t="s">
        <v>139</v>
      </c>
      <c r="E33" s="9" t="s">
        <v>140</v>
      </c>
      <c r="F33" s="9" t="s">
        <v>141</v>
      </c>
      <c r="G33" s="10"/>
      <c r="H33" s="9" t="s">
        <v>142</v>
      </c>
      <c r="I33" s="11"/>
      <c r="J33" s="12"/>
      <c r="K33" s="12" t="s">
        <v>22</v>
      </c>
      <c r="L33" s="9" t="s">
        <v>143</v>
      </c>
    </row>
    <row r="34" customFormat="false" ht="78" hidden="false" customHeight="true" outlineLevel="0" collapsed="false">
      <c r="A34" s="6" t="n">
        <v>24</v>
      </c>
      <c r="B34" s="7" t="s">
        <v>122</v>
      </c>
      <c r="C34" s="6" t="s">
        <v>66</v>
      </c>
      <c r="D34" s="8" t="s">
        <v>144</v>
      </c>
      <c r="E34" s="9" t="s">
        <v>145</v>
      </c>
      <c r="F34" s="9" t="s">
        <v>146</v>
      </c>
      <c r="G34" s="10"/>
      <c r="H34" s="9" t="s">
        <v>147</v>
      </c>
      <c r="I34" s="11"/>
      <c r="J34" s="12"/>
      <c r="K34" s="12" t="s">
        <v>22</v>
      </c>
      <c r="L34" s="9" t="s">
        <v>148</v>
      </c>
    </row>
    <row r="35" customFormat="false" ht="19.5" hidden="false" customHeight="true" outlineLevel="0" collapsed="false">
      <c r="A35" s="4" t="s">
        <v>149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78" hidden="false" customHeight="true" outlineLevel="0" collapsed="false">
      <c r="A36" s="6" t="n">
        <v>25</v>
      </c>
      <c r="B36" s="7" t="s">
        <v>150</v>
      </c>
      <c r="C36" s="6" t="s">
        <v>44</v>
      </c>
      <c r="D36" s="8" t="s">
        <v>151</v>
      </c>
      <c r="E36" s="9" t="s">
        <v>152</v>
      </c>
      <c r="F36" s="9" t="s">
        <v>153</v>
      </c>
      <c r="G36" s="10"/>
      <c r="H36" s="9" t="s">
        <v>154</v>
      </c>
      <c r="I36" s="11"/>
      <c r="J36" s="12"/>
      <c r="K36" s="12" t="s">
        <v>22</v>
      </c>
      <c r="L36" s="9" t="s">
        <v>155</v>
      </c>
    </row>
    <row r="37" customFormat="false" ht="78" hidden="false" customHeight="true" outlineLevel="0" collapsed="false">
      <c r="A37" s="6" t="n">
        <v>26</v>
      </c>
      <c r="B37" s="7" t="s">
        <v>150</v>
      </c>
      <c r="C37" s="6" t="s">
        <v>66</v>
      </c>
      <c r="D37" s="8" t="s">
        <v>156</v>
      </c>
      <c r="E37" s="9" t="s">
        <v>157</v>
      </c>
      <c r="F37" s="9" t="s">
        <v>158</v>
      </c>
      <c r="G37" s="10"/>
      <c r="H37" s="9" t="s">
        <v>159</v>
      </c>
      <c r="I37" s="11"/>
      <c r="J37" s="12"/>
      <c r="K37" s="12" t="s">
        <v>22</v>
      </c>
      <c r="L37" s="9" t="s">
        <v>160</v>
      </c>
    </row>
    <row r="39" customFormat="false" ht="15" hidden="false" customHeight="false" outlineLevel="0" collapsed="false">
      <c r="A39" s="2" t="s">
        <v>161</v>
      </c>
    </row>
    <row r="40" customFormat="false" ht="15" hidden="false" customHeight="false" outlineLevel="0" collapsed="false">
      <c r="A40" s="13" t="s">
        <v>162</v>
      </c>
    </row>
  </sheetData>
  <autoFilter ref="A5:L37"/>
  <dataValidations count="2">
    <dataValidation allowBlank="true" errorStyle="stop" operator="between" showDropDown="false" showErrorMessage="false" showInputMessage="false" sqref="J6:J37" type="list">
      <formula1>"Yes,Promised,No,N/A"</formula1>
      <formula2>0</formula2>
    </dataValidation>
    <dataValidation allowBlank="true" errorStyle="stop" operator="between" showDropDown="false" showErrorMessage="false" showInputMessage="false" sqref="K6:K37" type="list">
      <formula1>"Open,Answered,Partial,Refused,Not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62"/>
  </cols>
  <sheetData>
    <row r="1" customFormat="false" ht="18.5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14" t="s">
        <v>165</v>
      </c>
      <c r="B4" s="15"/>
      <c r="C4" s="15"/>
      <c r="D4" s="15"/>
    </row>
    <row r="5" customFormat="false" ht="15" hidden="false" customHeight="false" outlineLevel="0" collapsed="false">
      <c r="A5" s="3" t="s">
        <v>13</v>
      </c>
      <c r="B5" s="3" t="s">
        <v>166</v>
      </c>
      <c r="C5" s="3"/>
      <c r="D5" s="3" t="s">
        <v>167</v>
      </c>
    </row>
    <row r="6" customFormat="false" ht="15" hidden="false" customHeight="false" outlineLevel="0" collapsed="false">
      <c r="A6" s="16" t="s">
        <v>22</v>
      </c>
      <c r="B6" s="17" t="n">
        <f aca="false">COUNTIF(Questions!$K$6:$K$37,A6)</f>
        <v>26</v>
      </c>
      <c r="D6" s="18" t="str">
        <f aca="false">COUNTIF(Questions!$C$6:$C$37,"Ask first")&amp;" are ASK FIRST - the service fee, the contribution floor and the target-date expense ratio"</f>
        <v>6 are ASK FIRST - the service fee, the contribution floor and the target-date expense ratio</v>
      </c>
    </row>
    <row r="7" customFormat="false" ht="15" hidden="false" customHeight="false" outlineLevel="0" collapsed="false">
      <c r="A7" s="16" t="s">
        <v>168</v>
      </c>
      <c r="B7" s="17" t="n">
        <f aca="false">COUNTIF(Questions!$K$6:$K$37,A7)</f>
        <v>0</v>
      </c>
      <c r="D7" s="18" t="str">
        <f aca="false">"Answered in writing: "&amp;COUNTIF(Questions!$J$6:$J$37,"Yes")</f>
        <v>Answered in writing: 0</v>
      </c>
    </row>
    <row r="8" customFormat="false" ht="15" hidden="false" customHeight="false" outlineLevel="0" collapsed="false">
      <c r="A8" s="16" t="s">
        <v>169</v>
      </c>
      <c r="B8" s="17" t="n">
        <f aca="false">COUNTIF(Questions!$K$6:$K$37,A8)</f>
        <v>0</v>
      </c>
    </row>
    <row r="9" customFormat="false" ht="15" hidden="false" customHeight="false" outlineLevel="0" collapsed="false">
      <c r="A9" s="16" t="s">
        <v>170</v>
      </c>
      <c r="B9" s="17" t="n">
        <f aca="false">COUNTIF(Questions!$K$6:$K$37,A9)</f>
        <v>0</v>
      </c>
    </row>
    <row r="10" customFormat="false" ht="15" hidden="false" customHeight="false" outlineLevel="0" collapsed="false">
      <c r="A10" s="16" t="s">
        <v>171</v>
      </c>
      <c r="B10" s="17" t="n">
        <f aca="false">COUNTIF(Questions!$K$6:$K$37,A10)</f>
        <v>0</v>
      </c>
    </row>
    <row r="13" customFormat="false" ht="15" hidden="false" customHeight="false" outlineLevel="0" collapsed="false">
      <c r="A13" s="14" t="s">
        <v>172</v>
      </c>
      <c r="B13" s="15"/>
      <c r="C13" s="15"/>
      <c r="D13" s="15"/>
    </row>
    <row r="14" customFormat="false" ht="15" hidden="false" customHeight="false" outlineLevel="0" collapsed="false">
      <c r="A14" s="3" t="s">
        <v>10</v>
      </c>
      <c r="B14" s="3" t="s">
        <v>173</v>
      </c>
      <c r="C14" s="3" t="s">
        <v>174</v>
      </c>
      <c r="D14" s="3" t="s">
        <v>175</v>
      </c>
    </row>
    <row r="15" customFormat="false" ht="27.75" hidden="false" customHeight="true" outlineLevel="0" collapsed="false">
      <c r="A15" s="16" t="s">
        <v>21</v>
      </c>
      <c r="B15" s="19" t="n">
        <f aca="false">SUMIFS(Questions!$G$6:$G$37,Questions!$H$6:$H$37,A15)</f>
        <v>3240</v>
      </c>
      <c r="C15" s="20" t="n">
        <f aca="false">COUNTIFS(Questions!$H$6:$H$37,A15)</f>
        <v>1</v>
      </c>
      <c r="D15" s="9" t="s">
        <v>176</v>
      </c>
    </row>
    <row r="16" customFormat="false" ht="27.75" hidden="false" customHeight="true" outlineLevel="0" collapsed="false">
      <c r="A16" s="16" t="s">
        <v>37</v>
      </c>
      <c r="B16" s="19" t="n">
        <f aca="false">SUMIFS(Questions!$G$6:$G$37,Questions!$H$6:$H$37,A16)</f>
        <v>1320</v>
      </c>
      <c r="C16" s="20" t="n">
        <f aca="false">COUNTIFS(Questions!$H$6:$H$37,A16)</f>
        <v>1</v>
      </c>
      <c r="D16" s="9" t="s">
        <v>177</v>
      </c>
    </row>
    <row r="17" customFormat="false" ht="27.75" hidden="false" customHeight="true" outlineLevel="0" collapsed="false">
      <c r="A17" s="16" t="s">
        <v>48</v>
      </c>
      <c r="B17" s="19" t="n">
        <f aca="false">SUMIFS(Questions!$G$6:$G$37,Questions!$H$6:$H$37,A17)</f>
        <v>324</v>
      </c>
      <c r="C17" s="20" t="n">
        <f aca="false">COUNTIFS(Questions!$H$6:$H$37,A17)</f>
        <v>1</v>
      </c>
      <c r="D17" s="9" t="s">
        <v>178</v>
      </c>
    </row>
    <row r="18" customFormat="false" ht="27.75" hidden="false" customHeight="true" outlineLevel="0" collapsed="false">
      <c r="A18" s="16" t="s">
        <v>32</v>
      </c>
      <c r="B18" s="19" t="n">
        <f aca="false">SUMIFS(Questions!$G$6:$G$37,Questions!$H$6:$H$37,A18)</f>
        <v>34800</v>
      </c>
      <c r="C18" s="20" t="n">
        <f aca="false">COUNTIFS(Questions!$H$6:$H$37,A18)</f>
        <v>1</v>
      </c>
      <c r="D18" s="9" t="s">
        <v>179</v>
      </c>
    </row>
    <row r="19" customFormat="false" ht="27.75" hidden="false" customHeight="true" outlineLevel="0" collapsed="false">
      <c r="A19" s="16" t="s">
        <v>70</v>
      </c>
      <c r="B19" s="19" t="n">
        <f aca="false">SUMIFS(Questions!$G$6:$G$37,Questions!$H$6:$H$37,A19)</f>
        <v>12000</v>
      </c>
      <c r="C19" s="20" t="n">
        <f aca="false">COUNTIFS(Questions!$H$6:$H$37,A19)</f>
        <v>1</v>
      </c>
      <c r="D19" s="9" t="s">
        <v>180</v>
      </c>
    </row>
    <row r="20" customFormat="false" ht="15" hidden="false" customHeight="false" outlineLevel="0" collapsed="false">
      <c r="A20" s="21" t="s">
        <v>181</v>
      </c>
      <c r="B20" s="19" t="n">
        <f aca="false">B15+B16</f>
        <v>4560</v>
      </c>
      <c r="C20" s="22"/>
      <c r="D20" s="23" t="s">
        <v>182</v>
      </c>
    </row>
    <row r="23" customFormat="false" ht="15" hidden="false" customHeight="false" outlineLevel="0" collapsed="false">
      <c r="A23" s="14" t="s">
        <v>183</v>
      </c>
      <c r="B23" s="15"/>
      <c r="C23" s="15"/>
      <c r="D23" s="15"/>
    </row>
    <row r="24" customFormat="false" ht="31.5" hidden="false" customHeight="true" outlineLevel="0" collapsed="false">
      <c r="A24" s="6" t="s">
        <v>184</v>
      </c>
      <c r="B24" s="8" t="s">
        <v>185</v>
      </c>
      <c r="C24" s="8"/>
      <c r="D24" s="9" t="s">
        <v>186</v>
      </c>
    </row>
    <row r="25" customFormat="false" ht="31.5" hidden="false" customHeight="true" outlineLevel="0" collapsed="false">
      <c r="A25" s="6" t="s">
        <v>187</v>
      </c>
      <c r="B25" s="8" t="s">
        <v>188</v>
      </c>
      <c r="C25" s="8"/>
      <c r="D25" s="9" t="s">
        <v>189</v>
      </c>
    </row>
    <row r="26" customFormat="false" ht="31.5" hidden="false" customHeight="true" outlineLevel="0" collapsed="false">
      <c r="A26" s="6" t="s">
        <v>190</v>
      </c>
      <c r="B26" s="8" t="s">
        <v>191</v>
      </c>
      <c r="C26" s="8"/>
      <c r="D26" s="9" t="s">
        <v>192</v>
      </c>
    </row>
    <row r="27" customFormat="false" ht="31.5" hidden="false" customHeight="true" outlineLevel="0" collapsed="false">
      <c r="A27" s="6" t="s">
        <v>193</v>
      </c>
      <c r="B27" s="8" t="s">
        <v>194</v>
      </c>
      <c r="C27" s="8"/>
      <c r="D27" s="9" t="s">
        <v>195</v>
      </c>
    </row>
    <row r="30" customFormat="false" ht="15" hidden="false" customHeight="false" outlineLevel="0" collapsed="false">
      <c r="A30" s="14" t="s">
        <v>196</v>
      </c>
      <c r="B30" s="15"/>
      <c r="C30" s="15"/>
      <c r="D30" s="15"/>
    </row>
    <row r="31" customFormat="false" ht="15" hidden="false" customHeight="false" outlineLevel="0" collapsed="false">
      <c r="A31" s="18" t="s">
        <v>197</v>
      </c>
    </row>
    <row r="32" customFormat="false" ht="15" hidden="false" customHeight="false" outlineLevel="0" collapsed="false">
      <c r="A32" s="18" t="s">
        <v>198</v>
      </c>
    </row>
    <row r="33" customFormat="false" ht="15" hidden="false" customHeight="false" outlineLevel="0" collapsed="false">
      <c r="A33" s="18" t="s">
        <v>199</v>
      </c>
    </row>
    <row r="34" customFormat="false" ht="15" hidden="false" customHeight="false" outlineLevel="0" collapsed="false">
      <c r="A34" s="18" t="s">
        <v>200</v>
      </c>
    </row>
    <row r="35" customFormat="false" ht="15" hidden="false" customHeight="false" outlineLevel="0" collapsed="false">
      <c r="A35" s="18" t="s">
        <v>201</v>
      </c>
    </row>
    <row r="37" customFormat="false" ht="15" hidden="false" customHeight="false" outlineLevel="0" collapsed="false">
      <c r="A37" s="2" t="s">
        <v>202</v>
      </c>
    </row>
  </sheetData>
  <mergeCells count="4"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2026-09-03T22:08:48Z</dcterms:created>
  <dc:creator>openpyxl</dc:creator>
  <dc:description/>
  <dc:language>en-US</dc:language>
  <cp:lastModifiedBy/>
  <dcterms:modified xsi:type="dcterms:W3CDTF">2026-09-03T22:08:48Z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