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ibutions" sheetId="1" state="visible" r:id="rId3"/>
    <sheet name="Angle Plans" sheetId="2" state="visible" r:id="rId4"/>
    <sheet name="Cost by Tier" sheetId="3" state="visible" r:id="rId5"/>
    <sheet name="By Employee" sheetId="4" state="visible" r:id="rId6"/>
    <sheet name="Questco" sheetId="5" state="visible" r:id="rId7"/>
    <sheet name="401(k)" sheetId="6" state="visible" r:id="rId8"/>
    <sheet name="Combined" sheetId="7" state="visible" r:id="rId9"/>
  </sheets>
  <definedNames>
    <definedName function="false" hidden="true" localSheetId="3" name="_xlnm._FilterDatabase" vbProcedure="false">'By Employee'!$A$4:$L$19</definedName>
    <definedName function="false" hidden="true" localSheetId="2" name="_xlnm._FilterDatabase" vbProcedure="false">'Cost by Tier'!$A$4:$P$16</definedName>
    <definedName function="false" hidden="false" name="CostKey" vbProcedure="false">'Cost by Tier'!$Q$5:$Q$16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<sst xmlns="http://schemas.openxmlformats.org/spreadsheetml/2006/main" count="463" uniqueCount="269">
  <si>
    <t xml:space="preserve">Onyx Accounting Group, LLC - Angle Health + Questco</t>
  </si>
  <si>
    <t xml:space="preserve">Medical placed with Angle Health through CapFi. All other PEO services through Questco. Medical effective 10/01/2026.</t>
  </si>
  <si>
    <t xml:space="preserve">EDIT THE YELLOW CELLS ONLY. Every other number on every tab recalculates from them.</t>
  </si>
  <si>
    <t xml:space="preserve">1.  ONYX MONTHLY CONTRIBUTION BY TIER   &lt;- this is the lever</t>
  </si>
  <si>
    <t xml:space="preserve">Tier</t>
  </si>
  <si>
    <t xml:space="preserve">Code</t>
  </si>
  <si>
    <t xml:space="preserve">Onyx pays $/mo</t>
  </si>
  <si>
    <t xml:space="preserve">Onyx pays $/yr</t>
  </si>
  <si>
    <t xml:space="preserve">Angle minimum funding $/mo</t>
  </si>
  <si>
    <t xml:space="preserve">Clears the minimum?</t>
  </si>
  <si>
    <t xml:space="preserve">Employee only</t>
  </si>
  <si>
    <t xml:space="preserve">EE</t>
  </si>
  <si>
    <t xml:space="preserve">Employee + spouse</t>
  </si>
  <si>
    <t xml:space="preserve">ES</t>
  </si>
  <si>
    <t xml:space="preserve">Employee + child(ren)</t>
  </si>
  <si>
    <t xml:space="preserve">EC</t>
  </si>
  <si>
    <t xml:space="preserve">Family</t>
  </si>
  <si>
    <t xml:space="preserve">FAM</t>
  </si>
  <si>
    <t xml:space="preserve">Fixed dollars, medical only. Dental and vision are not offered by Angle; life, LTD and STD are quoted separately by Questco on the Questco tab.</t>
  </si>
  <si>
    <t xml:space="preserve">2.  ANGLE MINIMUM FUNDING REQUIREMENT</t>
  </si>
  <si>
    <t xml:space="preserve">Percentage of the lowest employee-only rate</t>
  </si>
  <si>
    <t xml:space="preserve">Minimum Onyx must fund, per enrolled employee, per month</t>
  </si>
  <si>
    <t xml:space="preserve">Minimum total funding at current enrollment, per year</t>
  </si>
  <si>
    <t xml:space="preserve">Angle's own presentation states minimum funding of $10,536.96/yr - 50% of the HDHP 3400/5000's $439.03 employee-only rate across four enrolled employees. The formula above lands at $10,536.72; the 24-cent difference is Angle rounding the monthly floor to $219.52.</t>
  </si>
  <si>
    <t xml:space="preserve">3.  WHO IS ENROLLED   &lt;- change Yes/No to re-run the whole model</t>
  </si>
  <si>
    <t xml:space="preserve">Employee</t>
  </si>
  <si>
    <t xml:space="preserve">Annual pay</t>
  </si>
  <si>
    <t xml:space="preserve">Medical tier</t>
  </si>
  <si>
    <t xml:space="preserve">Enrolling?</t>
  </si>
  <si>
    <t xml:space="preserve">Note</t>
  </si>
  <si>
    <t xml:space="preserve">Steven Nikolov</t>
  </si>
  <si>
    <t xml:space="preserve">Yes</t>
  </si>
  <si>
    <t xml:space="preserve">100% owner. &gt;2% S-corp shareholder - premiums cannot run pretax through the cafeteria plan (IRC 1372).</t>
  </si>
  <si>
    <t xml:space="preserve">Lisa Danforth</t>
  </si>
  <si>
    <t xml:space="preserve">Jessica Bumphus</t>
  </si>
  <si>
    <t xml:space="preserve">New hire.</t>
  </si>
  <si>
    <t xml:space="preserve">Christine Johnson</t>
  </si>
  <si>
    <t xml:space="preserve">Lowest salary, second-highest tier - feels the deduction hardest.</t>
  </si>
  <si>
    <t xml:space="preserve">Josephine Mack</t>
  </si>
  <si>
    <t xml:space="preserve">No</t>
  </si>
  <si>
    <t xml:space="preserve">Waiving. Shown so the model can be re-run with her enrolled - change to Yes.</t>
  </si>
  <si>
    <t xml:space="preserve">4.  ENROLLMENT AND COST AT THE CURRENT SETTINGS</t>
  </si>
  <si>
    <t xml:space="preserve">Enrolled</t>
  </si>
  <si>
    <t xml:space="preserve">Onyx $/mo</t>
  </si>
  <si>
    <t xml:space="preserve">Onyx $/yr</t>
  </si>
  <si>
    <t xml:space="preserve">TOTAL</t>
  </si>
  <si>
    <t xml:space="preserve">Angle Health - all three plans</t>
  </si>
  <si>
    <t xml:space="preserve">Level funded on the Cigna PPO network. Out-of-network is covered at 50% after a separate out-of-network deductible. Coinsurance is the share the PLAN pays after the deductible.</t>
  </si>
  <si>
    <t xml:space="preserve">Plan</t>
  </si>
  <si>
    <t xml:space="preserve">HSA</t>
  </si>
  <si>
    <t xml:space="preserve">Ded individual</t>
  </si>
  <si>
    <t xml:space="preserve">Ded family</t>
  </si>
  <si>
    <t xml:space="preserve">OOP max individual</t>
  </si>
  <si>
    <t xml:space="preserve">OOP max family</t>
  </si>
  <si>
    <t xml:space="preserve">Coins (plan pays)</t>
  </si>
  <si>
    <t xml:space="preserve">PCP</t>
  </si>
  <si>
    <t xml:space="preserve">Specialist</t>
  </si>
  <si>
    <t xml:space="preserve">Rx</t>
  </si>
  <si>
    <t xml:space="preserve">Emergency room</t>
  </si>
  <si>
    <t xml:space="preserve">ANG HDHP 3400/5000</t>
  </si>
  <si>
    <t xml:space="preserve">Y</t>
  </si>
  <si>
    <t xml:space="preserve">20% after ded</t>
  </si>
  <si>
    <t xml:space="preserve">20% after ded (all tiers)</t>
  </si>
  <si>
    <t xml:space="preserve">CapFi's recommended base plan. Sets the minimum-funding floor.</t>
  </si>
  <si>
    <t xml:space="preserve">ANG TRAD 2000/4000</t>
  </si>
  <si>
    <t xml:space="preserve">N</t>
  </si>
  <si>
    <t xml:space="preserve">$20</t>
  </si>
  <si>
    <t xml:space="preserve">$50</t>
  </si>
  <si>
    <t xml:space="preserve">$20 / $60</t>
  </si>
  <si>
    <t xml:space="preserve">$250</t>
  </si>
  <si>
    <t xml:space="preserve">Tier rates DERIVED from the ratios in the two documented plans. Confirm with CapFi before quoting to employees.</t>
  </si>
  <si>
    <t xml:space="preserve">ANG TRAD 1000/2000</t>
  </si>
  <si>
    <t xml:space="preserve">$10</t>
  </si>
  <si>
    <t xml:space="preserve">$30</t>
  </si>
  <si>
    <t xml:space="preserve">$10 / $30</t>
  </si>
  <si>
    <t xml:space="preserve">$200</t>
  </si>
  <si>
    <t xml:space="preserve">Best plan design in the whole field - $1,000 deductible, $2,000 out-of-pocket maximum.</t>
  </si>
  <si>
    <t xml:space="preserve">Every cell above is transcribed from the CapFi / Angle Health presentation, quote 400798, underwritten 7/30/2026.</t>
  </si>
  <si>
    <t xml:space="preserve">What each Angle plan costs Onyx and the employee</t>
  </si>
  <si>
    <t xml:space="preserve">Onyx pays the greater of its tier contribution and Angle's minimum funding, never more than the premium. Worst case = the employee's annual premium plus that household's in-network out-of-pocket maximum; premiums never count toward an out-of-pocket maximum, so the two add without overlapping.</t>
  </si>
  <si>
    <t xml:space="preserve">Monthly premium</t>
  </si>
  <si>
    <t xml:space="preserve">Onyx contribution $/mo</t>
  </si>
  <si>
    <t xml:space="preserve">Angle minimum $/mo</t>
  </si>
  <si>
    <t xml:space="preserve">Employee pays $/mo</t>
  </si>
  <si>
    <t xml:space="preserve">Onyx share</t>
  </si>
  <si>
    <t xml:space="preserve">Onyx $/yr (all enrolled)</t>
  </si>
  <si>
    <t xml:space="preserve">Employee $/yr (each)</t>
  </si>
  <si>
    <t xml:space="preserve">Deductible</t>
  </si>
  <si>
    <t xml:space="preserve">OOP max</t>
  </si>
  <si>
    <t xml:space="preserve">Worst case $/yr (each)</t>
  </si>
  <si>
    <t xml:space="preserve">Employee $/yr (all in tier)</t>
  </si>
  <si>
    <t xml:space="preserve">Row key</t>
  </si>
  <si>
    <t xml:space="preserve">HSA funding is deliberately not modeled. On the HDHP 3400/5000 an employee can pay part of that worst case with pretax dollars, so the real cost is lower - but by an amount only the employee controls.</t>
  </si>
  <si>
    <t xml:space="preserve">'Onyx $/yr (all enrolled)' multiplies by how many people sit in that tier, so the column sums to Onyx's whole medical spend.</t>
  </si>
  <si>
    <t xml:space="preserve">Every Angle plan, priced for each person</t>
  </si>
  <si>
    <t xml:space="preserve">Driven by the enrollment table on the Contributions tab. Anyone marked No shows a blank deduction - change them to Yes to price them in.</t>
  </si>
  <si>
    <t xml:space="preserve">Employee $/mo</t>
  </si>
  <si>
    <t xml:space="preserve">Employee $/yr</t>
  </si>
  <si>
    <t xml:space="preserve">Worst case $/yr</t>
  </si>
  <si>
    <t xml:space="preserve">Questco - PEO services other than medical</t>
  </si>
  <si>
    <t xml:space="preserve">IRS-Certified PEO. Quote dated for 5 worksite employees on $658,322 of annual payroll. Medical is declined - Onyx takes Angle instead.</t>
  </si>
  <si>
    <t xml:space="preserve">1.  WHAT ONYX PAYS QUESTCO   (payroll taxes are separate - see block 3)</t>
  </si>
  <si>
    <t xml:space="preserve">Cost line</t>
  </si>
  <si>
    <t xml:space="preserve">Basis</t>
  </si>
  <si>
    <t xml:space="preserve">Rate / amount</t>
  </si>
  <si>
    <t xml:space="preserve">Headcount</t>
  </si>
  <si>
    <t xml:space="preserve">Elected?</t>
  </si>
  <si>
    <t xml:space="preserve">Monthly</t>
  </si>
  <si>
    <t xml:space="preserve">Annual</t>
  </si>
  <si>
    <t xml:space="preserve">Administrative fee</t>
  </si>
  <si>
    <t xml:space="preserve">Per active employee per month</t>
  </si>
  <si>
    <t xml:space="preserve">Required</t>
  </si>
  <si>
    <t xml:space="preserve">The core PEO fee. $117 PEPM as quoted.</t>
  </si>
  <si>
    <t xml:space="preserve">Workers' compensation + EPLI</t>
  </si>
  <si>
    <t xml:space="preserve">Annual premium</t>
  </si>
  <si>
    <t xml:space="preserve">Subject to full underwriting - loss runs, class-code confirmation, possible survey. The rate can move.</t>
  </si>
  <si>
    <t xml:space="preserve">Cyber liability</t>
  </si>
  <si>
    <t xml:space="preserve">$250,000 aggregate, $1,000 per-claim retention, $50,000 sub-limits. Set to No - Onyx is placing cyber separately. A standalone policy is the right call for a firm holding client tax data under the FTC Safeguards Rule and IRS Pub 4557.</t>
  </si>
  <si>
    <t xml:space="preserve">Recurring subtotal</t>
  </si>
  <si>
    <t xml:space="preserve">Payroll installation / implementation</t>
  </si>
  <si>
    <t xml:space="preserve">One time, first year only</t>
  </si>
  <si>
    <t xml:space="preserve">The 401(k) is on its own tab. Questco charges Onyx nothing for it unless Onyx matches.</t>
  </si>
  <si>
    <t xml:space="preserve">2.  OPTIONAL EMPLOYER-PAID BENEFITS   &lt;- set Yes / No</t>
  </si>
  <si>
    <t xml:space="preserve">Benefit</t>
  </si>
  <si>
    <t xml:space="preserve">Design</t>
  </si>
  <si>
    <t xml:space="preserve">Basic life &amp; AD&amp;D</t>
  </si>
  <si>
    <t xml:space="preserve">$50,000 flat</t>
  </si>
  <si>
    <t xml:space="preserve">$50,000 is exactly the IRC 79 exclusion limit. Going to 1x salary would create imputed W-2 income for Steven, Lisa and Jessica and cost about $1,100 more. Steven's is taxable either way as a &gt;2% shareholder.</t>
  </si>
  <si>
    <t xml:space="preserve">Long-term disability</t>
  </si>
  <si>
    <t xml:space="preserve">60% to $10,000/mo, 90-day elimination</t>
  </si>
  <si>
    <t xml:space="preserve">The $15,000 tier is priced identically because nobody's 60% benefit reaches it - Steven's is the highest at $9,300. At $5,000 the three highest earners would be underinsured.</t>
  </si>
  <si>
    <t xml:space="preserve">Short-term disability</t>
  </si>
  <si>
    <t xml:space="preserve">60% to $1,500/wk, 7/14, 13 weeks</t>
  </si>
  <si>
    <t xml:space="preserve">Onyx's stated benefit design has STD employee-paid. Set to Yes to model Onyx funding it.</t>
  </si>
  <si>
    <t xml:space="preserve">Elected ancillary subtotal</t>
  </si>
  <si>
    <t xml:space="preserve">Rates are estimates from the Questco ancillary comparison - final rates come from the salaries in payroll. Dental and vision are employee-paid and are not in this model.</t>
  </si>
  <si>
    <t xml:space="preserve">3.  PAYROLL TAXES   (Onyx owes these with or without a PEO - shown so the invoice reconciles, NOT as a cost of choosing Questco)</t>
  </si>
  <si>
    <t xml:space="preserve">Tax</t>
  </si>
  <si>
    <t xml:space="preserve">Quoted annual</t>
  </si>
  <si>
    <t xml:space="preserve">FICA - employer share</t>
  </si>
  <si>
    <t xml:space="preserve">Quoted figure exceeds 7.65% of $658,322 ($50,361.63) and does not appear to cap Social Security at the wage base. With Steven at $186,000 and Lisa at $178,094 it should be lower, not higher. Ask Questco what base was used.</t>
  </si>
  <si>
    <t xml:space="preserve">FUTA</t>
  </si>
  <si>
    <t xml:space="preserve">5 employees x $7,000 x 0.6%. Ties exactly.</t>
  </si>
  <si>
    <t xml:space="preserve">SUTA (Arizona)</t>
  </si>
  <si>
    <t xml:space="preserve">Confirm whether Arizona reporting is at client level or PEO level - it decides whether Onyx keeps its own experience rating on exit.</t>
  </si>
  <si>
    <t xml:space="preserve">Pass-through subtotal</t>
  </si>
  <si>
    <t xml:space="preserve">4.  WHAT THE FEE BUYS</t>
  </si>
  <si>
    <t xml:space="preserve">Category</t>
  </si>
  <si>
    <t xml:space="preserve">Included</t>
  </si>
  <si>
    <t xml:space="preserve">Relevance to Onyx</t>
  </si>
  <si>
    <t xml:space="preserve">Payroll administration</t>
  </si>
  <si>
    <t xml:space="preserve">Processing, direct deposit, garnishments, state and federal tax remittance, Forms 940/941, W-2/W-3, PTO tracking, ACA reporting, 20+ standard reports. Payroll runs 3 business days before payday and Onyx controls entry.</t>
  </si>
  <si>
    <t xml:space="preserve">Core. Replaces the payroll function outright.</t>
  </si>
  <si>
    <t xml:space="preserve">HR expertise and support</t>
  </si>
  <si>
    <t xml:space="preserve">Dedicated HR team, handbook and policy review, job descriptions, onboarding, employee relations, terminations, unemployment claims, EEOC, FMLA and FLSA compliance.</t>
  </si>
  <si>
    <t xml:space="preserve">High. Displaces the outside HR support Onyx pays for today.</t>
  </si>
  <si>
    <t xml:space="preserve">Benefits administration</t>
  </si>
  <si>
    <t xml:space="preserve">Enrollments, terminations, qualifying events, COBRA, Section 125 compliance, creditable coverage reporting, claims advocacy, and in-house invoice reconciliation for client-owned plans.</t>
  </si>
  <si>
    <t xml:space="preserve">High - and the reason Questco can administer the Angle plan.</t>
  </si>
  <si>
    <t xml:space="preserve">Self-funded plan filings</t>
  </si>
  <si>
    <t xml:space="preserve">PCORI fee calculation and Form 720; Forms 1094-B/1095-B.</t>
  </si>
  <si>
    <t xml:space="preserve">CRITICAL. Angle is level funded, so these are now Onyx's obligations. Confirm in writing that Questco covers them for the Angle plan by name.</t>
  </si>
  <si>
    <t xml:space="preserve">Workers' compensation</t>
  </si>
  <si>
    <t xml:space="preserve">Coverage at PEO rates, safety training and materials, claims handling.</t>
  </si>
  <si>
    <t xml:space="preserve">Medium. Office exposure is low, but the rate is still subject to underwriting.</t>
  </si>
  <si>
    <t xml:space="preserve">401(k)</t>
  </si>
  <si>
    <t xml:space="preserve">Large-group multiple employer plan, $3.00 per participating employee per quarter, no employer cost unless Onyx matches. Confirmed it does not require annual re-signature by Onyx.</t>
  </si>
  <si>
    <t xml:space="preserve">High. Cheapest participant fee of any vendor reviewed. See the 401(k) tab.</t>
  </si>
  <si>
    <t xml:space="preserve">$250,000 annual aggregate, $1,000 per-claim retention, $50,000 sub-limits, 24/7 incident hotline.</t>
  </si>
  <si>
    <t xml:space="preserve">Declined - Onyx is placing a standalone policy instead.</t>
  </si>
  <si>
    <t xml:space="preserve">CPEO status</t>
  </si>
  <si>
    <t xml:space="preserve">IRS-Certified Professional Employer Organization.</t>
  </si>
  <si>
    <t xml:space="preserve">High. It is what protects the payroll-tax wage bases from restarting on a mid-year start - worth roughly $5,600 given Steven's and Lisa's salaries. Confirm it.</t>
  </si>
  <si>
    <t xml:space="preserve">HR technology</t>
  </si>
  <si>
    <t xml:space="preserve">Employee self-service portal, mobile access, reporting and analytics.</t>
  </si>
  <si>
    <t xml:space="preserve">Medium.</t>
  </si>
  <si>
    <t xml:space="preserve">401(k) through Questco - match modelling</t>
  </si>
  <si>
    <t xml:space="preserve">Questco charges $3.00 per participating employee per quarter and nothing to Onyx unless Onyx matches. Everything below is a lever - change the match formula, who participates, or what they defer.</t>
  </si>
  <si>
    <t xml:space="preserve">EDIT THE YELLOW CELLS.</t>
  </si>
  <si>
    <t xml:space="preserve">1.  PLAN SETTINGS</t>
  </si>
  <si>
    <t xml:space="preserve">Setting</t>
  </si>
  <si>
    <t xml:space="preserve">Value</t>
  </si>
  <si>
    <t xml:space="preserve">Per / of pay</t>
  </si>
  <si>
    <t xml:space="preserve">Per-participant fee</t>
  </si>
  <si>
    <t xml:space="preserve">per quarter</t>
  </si>
  <si>
    <t xml:space="preserve">Questco's quoted 401(k) fee. $12 a year per participant - the lowest of any vendor reviewed. TriNet charges $63; ADP charges none but recovers it inside fund expense ratios.</t>
  </si>
  <si>
    <t xml:space="preserve">Fee paid by</t>
  </si>
  <si>
    <t xml:space="preserve">Participant</t>
  </si>
  <si>
    <t xml:space="preserve">Set to Employer to have Onyx absorb it. Questco's statement is that Onyx pays nothing unless it matches, so Participant is the default - confirm with them.</t>
  </si>
  <si>
    <t xml:space="preserve">IRS compensation limit</t>
  </si>
  <si>
    <t xml:space="preserve">CONFIRM the current-year 401(a)(17) figure. Nobody here is close, so it does not bind.</t>
  </si>
  <si>
    <t xml:space="preserve">IRS elective deferral limit</t>
  </si>
  <si>
    <t xml:space="preserve">CONFIRM the current-year 402(g) figure. Not binding at the deferral rates below.</t>
  </si>
  <si>
    <t xml:space="preserve">Match type</t>
  </si>
  <si>
    <t xml:space="preserve">Tiered match</t>
  </si>
  <si>
    <t xml:space="preserve">Tiered match, Non-elective, or None. Non-elective goes to every participating employee whether or not they defer.</t>
  </si>
  <si>
    <t xml:space="preserve">Tier 1 - match rate</t>
  </si>
  <si>
    <t xml:space="preserve">Match 100% of the first 3% of pay deferred. With Tier 2 this is the classic safe harbor basic formula.</t>
  </si>
  <si>
    <t xml:space="preserve">Tier 2 - match rate</t>
  </si>
  <si>
    <t xml:space="preserve">Match 50% of the next 2% of pay. An employee deferring 5% or more earns the full 4% of pay.</t>
  </si>
  <si>
    <t xml:space="preserve">Non-elective rate</t>
  </si>
  <si>
    <t xml:space="preserve">Used only when Match type is Non-elective. 3% of pay to every participating employee.</t>
  </si>
  <si>
    <t xml:space="preserve">2.  WHO PARTICIPATES AND WHAT THEY DEFER</t>
  </si>
  <si>
    <t xml:space="preserve">Eligible pay</t>
  </si>
  <si>
    <t xml:space="preserve">Participating?</t>
  </si>
  <si>
    <t xml:space="preserve">Deferral % of pay</t>
  </si>
  <si>
    <t xml:space="preserve">Employee deferral $/yr</t>
  </si>
  <si>
    <t xml:space="preserve">Onyx match $/yr</t>
  </si>
  <si>
    <t xml:space="preserve">Match as % of pay</t>
  </si>
  <si>
    <t xml:space="preserve">Participant fee $/yr</t>
  </si>
  <si>
    <t xml:space="preserve">Deferral rates default to 6%, which fully earns the safe harbor basic match. They are an assumption - nobody has elected yet. ADP's own multiple employer plan reports a 7.81% average.</t>
  </si>
  <si>
    <t xml:space="preserve">3.  WHAT THE 401(k) COSTS ONYX</t>
  </si>
  <si>
    <t xml:space="preserve">Line</t>
  </si>
  <si>
    <t xml:space="preserve">Employer match</t>
  </si>
  <si>
    <t xml:space="preserve">Deductible to Onyx. Unlike health premiums, a match for Steven as a &gt;2% S-corp shareholder is a normal deductible plan contribution, not W-2 wages.</t>
  </si>
  <si>
    <t xml:space="preserve">Participant fees absorbed by Onyx</t>
  </si>
  <si>
    <t xml:space="preserve">Zero while the fee sits on participants. Flip 'Fee paid by' to Employer to model Onyx absorbing it.</t>
  </si>
  <si>
    <t xml:space="preserve">ONYX 401(k) COST</t>
  </si>
  <si>
    <t xml:space="preserve">Participants pay $0 while the fee stays on them; the total they bear is on row 24 column H.</t>
  </si>
  <si>
    <t xml:space="preserve">4.  BEFORE ADOPTING</t>
  </si>
  <si>
    <t xml:space="preserve">•  Steven owns 100%, so the plan is almost certainly top-heavy. A safe harbor design - the tiered match above, or the 3% non-elective - exempts it from the top-heavy minimum. A discretionary match does not.</t>
  </si>
  <si>
    <t xml:space="preserve">•  Ask Questco whether an adopting employer in their multiple employer plan still claims the SECURE 2.0 start-up credits: up to $5,000/yr for three years, $500/yr for auto-enrolment. Neither Questco nor any other vendor reviewed has answered it.</t>
  </si>
  <si>
    <t xml:space="preserve">•  Ask for the fund lineup with expense ratios and the target-date series. The $3 per quarter is only the visible fee; the expense ratios are where the rest sits.</t>
  </si>
  <si>
    <t xml:space="preserve">•  Confirm whether the $3 is billed to Onyx or deducted from participant accounts, and whether the match triggers Questco's $150/hour allocation work or anything like it.</t>
  </si>
  <si>
    <t xml:space="preserve">•  Confirm the 401(k) does not require annual re-signature by Onyx - the answer that moved this decision forward in the first place.</t>
  </si>
  <si>
    <t xml:space="preserve">Angle + Questco - monthly and annual projection</t>
  </si>
  <si>
    <t xml:space="preserve">Everything here recalculates from the Contributions, Questco and 401(k) tabs. Pick a plan below to drive the first two blocks.</t>
  </si>
  <si>
    <t xml:space="preserve">SELECTED ANGLE PLAN</t>
  </si>
  <si>
    <t xml:space="preserve">1.  WHAT ONYX PAYS</t>
  </si>
  <si>
    <t xml:space="preserve">Vendor</t>
  </si>
  <si>
    <t xml:space="preserve">Medical - employer contribution</t>
  </si>
  <si>
    <t xml:space="preserve">Angle / CapFi</t>
  </si>
  <si>
    <t xml:space="preserve">Fixed dollars per tier. Does not move when an employee changes plans.</t>
  </si>
  <si>
    <t xml:space="preserve">Questco</t>
  </si>
  <si>
    <t xml:space="preserve">$117 per employee per month.</t>
  </si>
  <si>
    <t xml:space="preserve">Workers' comp + EPLI</t>
  </si>
  <si>
    <t xml:space="preserve">Subject to underwriting.</t>
  </si>
  <si>
    <t xml:space="preserve">Zero while it is set to No on the Questco tab. Onyx is placing this separately.</t>
  </si>
  <si>
    <t xml:space="preserve">Employer-paid ancillary</t>
  </si>
  <si>
    <t xml:space="preserve">Life, LTD and STD as elected on the Questco tab.</t>
  </si>
  <si>
    <t xml:space="preserve">401(k) - employer cost</t>
  </si>
  <si>
    <t xml:space="preserve">Match, plus participant fees only if Onyx absorbs them. Set the formula on the 401(k) tab.</t>
  </si>
  <si>
    <t xml:space="preserve">ONYX RECURRING TOTAL</t>
  </si>
  <si>
    <t xml:space="preserve">Implementation (first year only)</t>
  </si>
  <si>
    <t xml:space="preserve">ONYX FIRST-YEAR TOTAL</t>
  </si>
  <si>
    <t xml:space="preserve">The 401(k) line is a MODELLED match, not a committed cost. At the default settings - safe harbor basic, everyone deferring 6% - it is the largest line on this page after medical. Set Match type to None on the 401(k) tab to see Onyx's cost without a match.</t>
  </si>
  <si>
    <t xml:space="preserve">Payroll taxes of about $52,176 a year are NOT in this total. Onyx owes FICA, FUTA and SUTA whether or not there is a PEO, so they are a pass-through on the Questco invoice rather than a cost of the relationship. They are itemised on the Questco tab.</t>
  </si>
  <si>
    <t xml:space="preserve">2.  WHAT THE EMPLOYEES PAY, AND THE COMBINED PICTURE</t>
  </si>
  <si>
    <t xml:space="preserve">Employee medical deductions, all enrolled</t>
  </si>
  <si>
    <t xml:space="preserve">Premium only. Pretax for everyone except Steven.</t>
  </si>
  <si>
    <t xml:space="preserve">Employee 401(k) deferrals</t>
  </si>
  <si>
    <t xml:space="preserve">Their own savings, not a cost - shown so the payroll picture is complete.</t>
  </si>
  <si>
    <t xml:space="preserve">Employee 401(k) fees</t>
  </si>
  <si>
    <t xml:space="preserve">$3 per quarter each while the fee sits on participants.</t>
  </si>
  <si>
    <t xml:space="preserve">Onyx + employees, medical premium only</t>
  </si>
  <si>
    <t xml:space="preserve">The true cost of the Angle plan itself, both sides.</t>
  </si>
  <si>
    <t xml:space="preserve">Onyx + employees, all in</t>
  </si>
  <si>
    <t xml:space="preserve">Adds the Questco fee, elected ancillary, the 401(k) and the participant fees.</t>
  </si>
  <si>
    <t xml:space="preserve">Combined worst case, one bad year</t>
  </si>
  <si>
    <t xml:space="preserve">Assumes every enrolled household hits its out-of-pocket maximum in the same year. A ceiling, not a forecast.</t>
  </si>
  <si>
    <t xml:space="preserve">3.  ALL THREE PLANS SIDE BY SIDE   (annual, at the current settings)</t>
  </si>
  <si>
    <t xml:space="preserve">Angle plan</t>
  </si>
  <si>
    <t xml:space="preserve">Onyx - medical</t>
  </si>
  <si>
    <t xml:space="preserve">Onyx - all in</t>
  </si>
  <si>
    <t xml:space="preserve">Employee medical</t>
  </si>
  <si>
    <t xml:space="preserve">Onyx + employees</t>
  </si>
  <si>
    <t xml:space="preserve">Combined worst case</t>
  </si>
  <si>
    <t xml:space="preserve">Onyx's medical column is the same across all three plans because the contribution is a fixed dollar amount and Angle's minimum funding never binds at these settings. A richer plan costs Onyx nothing extra and costs the employee the whole difference. Lower the contribution far enough on the Contributions tab and the minimum starts to bind - the check column there says so.</t>
  </si>
  <si>
    <t xml:space="preserve">Angle offers no dental or vision. Questco quotes both as employee-paid, so neither appears in Onyx's cost here.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</si>
</sst>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\$#,##0;&quot;($&quot;#,##0\);\-"/>
    <numFmt numFmtId="167" formatCode="0.0%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8E2F2A"/>
      <name val="Arial"/>
      <family val="0"/>
      <charset val="1"/>
    </font>
    <font>
      <b val="true"/>
      <sz val="11"/>
      <color rgb="FF1D5B7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i val="true"/>
      <sz val="9"/>
      <color rgb="FF8E2F2A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5B72"/>
        <bgColor rgb="FF404040"/>
      </patternFill>
    </fill>
    <fill>
      <patternFill patternType="solid">
        <fgColor rgb="FFFFFF00"/>
        <bgColor rgb="FFFFFF00"/>
      </patternFill>
    </fill>
    <fill>
      <patternFill patternType="solid">
        <fgColor rgb="FFE4E9EA"/>
        <bgColor rgb="FFEFF3F5"/>
      </patternFill>
    </fill>
    <fill>
      <patternFill patternType="solid">
        <fgColor rgb="FFEFF3F5"/>
        <bgColor rgb="FFE4E9E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D5B72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D5B72"/>
          <bgColor rgb="FF000000"/>
        </patternFill>
      </fill>
    </dxf>
    <dxf>
      <fill>
        <patternFill patternType="solid">
          <fgColor rgb="FFEFF3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5B72"/>
      <rgbColor rgb="FFBFBFBF"/>
      <rgbColor rgb="FF808080"/>
      <rgbColor rgb="FF9999FF"/>
      <rgbColor rgb="FF993366"/>
      <rgbColor rgb="FFEFF3F5"/>
      <rgbColor rgb="FFE4E9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8E2F2A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4" min="3" style="0" width="17"/>
    <col collapsed="false" customWidth="true" hidden="false" outlineLevel="0" max="5" min="5" style="0" width="22"/>
    <col collapsed="false" customWidth="true" hidden="false" outlineLevel="0" max="6" min="6" style="0" width="62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5"/>
      <c r="C5" s="5"/>
      <c r="D5" s="5"/>
      <c r="E5" s="5"/>
      <c r="F5" s="5"/>
      <c r="G5" s="5"/>
      <c r="H5" s="5"/>
    </row>
    <row r="6" customFormat="false" ht="30" hidden="false" customHeight="true" outlineLevel="0" collapsed="false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</row>
    <row r="7" customFormat="false" ht="15" hidden="false" customHeight="false" outlineLevel="0" collapsed="false">
      <c r="A7" s="7" t="s">
        <v>10</v>
      </c>
      <c r="B7" s="8" t="s">
        <v>11</v>
      </c>
      <c r="C7" s="9" t="n">
        <v>300</v>
      </c>
      <c r="D7" s="10" t="n">
        <f aca="false">C7*12</f>
        <v>3600</v>
      </c>
      <c r="E7" s="11" t="n">
        <f aca="false">$C$16</f>
        <v>219.515</v>
      </c>
      <c r="F7" s="8" t="str">
        <f aca="false">IF(C7&gt;=E7,"Yes","NO - below Angle minimum")</f>
        <v>Yes</v>
      </c>
    </row>
    <row r="8" customFormat="false" ht="15" hidden="false" customHeight="false" outlineLevel="0" collapsed="false">
      <c r="A8" s="7" t="s">
        <v>12</v>
      </c>
      <c r="B8" s="8" t="s">
        <v>13</v>
      </c>
      <c r="C8" s="9" t="n">
        <v>600</v>
      </c>
      <c r="D8" s="10" t="n">
        <f aca="false">C8*12</f>
        <v>7200</v>
      </c>
      <c r="E8" s="11" t="n">
        <f aca="false">$C$16</f>
        <v>219.515</v>
      </c>
      <c r="F8" s="8" t="str">
        <f aca="false">IF(C8&gt;=E8,"Yes","NO - below Angle minimum")</f>
        <v>Yes</v>
      </c>
    </row>
    <row r="9" customFormat="false" ht="15" hidden="false" customHeight="false" outlineLevel="0" collapsed="false">
      <c r="A9" s="7" t="s">
        <v>14</v>
      </c>
      <c r="B9" s="8" t="s">
        <v>15</v>
      </c>
      <c r="C9" s="9" t="n">
        <v>600</v>
      </c>
      <c r="D9" s="10" t="n">
        <f aca="false">C9*12</f>
        <v>7200</v>
      </c>
      <c r="E9" s="11" t="n">
        <f aca="false">$C$16</f>
        <v>219.515</v>
      </c>
      <c r="F9" s="8" t="str">
        <f aca="false">IF(C9&gt;=E9,"Yes","NO - below Angle minimum")</f>
        <v>Yes</v>
      </c>
    </row>
    <row r="10" customFormat="false" ht="15" hidden="false" customHeight="false" outlineLevel="0" collapsed="false">
      <c r="A10" s="7" t="s">
        <v>16</v>
      </c>
      <c r="B10" s="8" t="s">
        <v>17</v>
      </c>
      <c r="C10" s="9" t="n">
        <v>1000</v>
      </c>
      <c r="D10" s="10" t="n">
        <f aca="false">C10*12</f>
        <v>12000</v>
      </c>
      <c r="E10" s="11" t="n">
        <f aca="false">$C$16</f>
        <v>219.515</v>
      </c>
      <c r="F10" s="8" t="str">
        <f aca="false">IF(C10&gt;=E10,"Yes","NO - below Angle minimum")</f>
        <v>Yes</v>
      </c>
    </row>
    <row r="12" customFormat="false" ht="15" hidden="false" customHeight="false" outlineLevel="0" collapsed="false">
      <c r="A12" s="2" t="s">
        <v>18</v>
      </c>
    </row>
    <row r="14" customFormat="false" ht="15" hidden="false" customHeight="false" outlineLevel="0" collapsed="false">
      <c r="A14" s="4" t="s">
        <v>19</v>
      </c>
      <c r="B14" s="5"/>
      <c r="C14" s="5"/>
      <c r="D14" s="5"/>
      <c r="E14" s="5"/>
      <c r="F14" s="5"/>
      <c r="G14" s="5"/>
      <c r="H14" s="5"/>
    </row>
    <row r="15" customFormat="false" ht="15" hidden="false" customHeight="false" outlineLevel="0" collapsed="false">
      <c r="A15" s="7" t="s">
        <v>20</v>
      </c>
      <c r="B15" s="12"/>
      <c r="C15" s="13" t="n">
        <v>0.5</v>
      </c>
    </row>
    <row r="16" customFormat="false" ht="15" hidden="false" customHeight="false" outlineLevel="0" collapsed="false">
      <c r="A16" s="14" t="s">
        <v>21</v>
      </c>
      <c r="B16" s="12"/>
      <c r="C16" s="15" t="n">
        <f aca="false">C15*MIN('Angle Plans'!L5:L7)</f>
        <v>219.515</v>
      </c>
    </row>
    <row r="17" customFormat="false" ht="15" hidden="false" customHeight="false" outlineLevel="0" collapsed="false">
      <c r="A17" s="7" t="s">
        <v>22</v>
      </c>
      <c r="B17" s="12"/>
      <c r="C17" s="10" t="n">
        <f aca="false">C16*C34*12</f>
        <v>10536.72</v>
      </c>
    </row>
    <row r="18" customFormat="false" ht="15" hidden="false" customHeight="false" outlineLevel="0" collapsed="false">
      <c r="A18" s="2" t="s">
        <v>23</v>
      </c>
    </row>
    <row r="20" customFormat="false" ht="15" hidden="false" customHeight="false" outlineLevel="0" collapsed="false">
      <c r="A20" s="4" t="s">
        <v>24</v>
      </c>
      <c r="B20" s="5"/>
      <c r="C20" s="5"/>
      <c r="D20" s="5"/>
      <c r="E20" s="5"/>
      <c r="F20" s="5"/>
      <c r="G20" s="5"/>
      <c r="H20" s="5"/>
    </row>
    <row r="21" customFormat="false" ht="30" hidden="false" customHeight="true" outlineLevel="0" collapsed="false">
      <c r="A21" s="6" t="s">
        <v>25</v>
      </c>
      <c r="B21" s="6" t="s">
        <v>26</v>
      </c>
      <c r="C21" s="6" t="s">
        <v>27</v>
      </c>
      <c r="D21" s="6" t="s">
        <v>5</v>
      </c>
      <c r="E21" s="6" t="s">
        <v>28</v>
      </c>
      <c r="F21" s="6" t="s">
        <v>29</v>
      </c>
    </row>
    <row r="22" customFormat="false" ht="25.5" hidden="false" customHeight="true" outlineLevel="0" collapsed="false">
      <c r="A22" s="7" t="s">
        <v>30</v>
      </c>
      <c r="B22" s="16" t="n">
        <v>186000</v>
      </c>
      <c r="C22" s="7" t="s">
        <v>16</v>
      </c>
      <c r="D22" s="17" t="s">
        <v>17</v>
      </c>
      <c r="E22" s="18" t="s">
        <v>31</v>
      </c>
      <c r="F22" s="19" t="s">
        <v>32</v>
      </c>
    </row>
    <row r="23" customFormat="false" ht="25.5" hidden="false" customHeight="true" outlineLevel="0" collapsed="false">
      <c r="A23" s="7" t="s">
        <v>33</v>
      </c>
      <c r="B23" s="16" t="n">
        <v>178094</v>
      </c>
      <c r="C23" s="7" t="s">
        <v>10</v>
      </c>
      <c r="D23" s="17" t="s">
        <v>11</v>
      </c>
      <c r="E23" s="18" t="s">
        <v>31</v>
      </c>
      <c r="F23" s="19"/>
    </row>
    <row r="24" customFormat="false" ht="25.5" hidden="false" customHeight="true" outlineLevel="0" collapsed="false">
      <c r="A24" s="7" t="s">
        <v>34</v>
      </c>
      <c r="B24" s="16" t="n">
        <v>135000</v>
      </c>
      <c r="C24" s="7" t="s">
        <v>16</v>
      </c>
      <c r="D24" s="17" t="s">
        <v>17</v>
      </c>
      <c r="E24" s="18" t="s">
        <v>31</v>
      </c>
      <c r="F24" s="19" t="s">
        <v>35</v>
      </c>
    </row>
    <row r="25" customFormat="false" ht="25.5" hidden="false" customHeight="true" outlineLevel="0" collapsed="false">
      <c r="A25" s="7" t="s">
        <v>36</v>
      </c>
      <c r="B25" s="16" t="n">
        <v>79228</v>
      </c>
      <c r="C25" s="7" t="s">
        <v>12</v>
      </c>
      <c r="D25" s="17" t="s">
        <v>13</v>
      </c>
      <c r="E25" s="18" t="s">
        <v>31</v>
      </c>
      <c r="F25" s="19" t="s">
        <v>37</v>
      </c>
    </row>
    <row r="26" customFormat="false" ht="25.5" hidden="false" customHeight="true" outlineLevel="0" collapsed="false">
      <c r="A26" s="7" t="s">
        <v>38</v>
      </c>
      <c r="B26" s="16" t="n">
        <v>80000</v>
      </c>
      <c r="C26" s="7" t="s">
        <v>16</v>
      </c>
      <c r="D26" s="17" t="s">
        <v>17</v>
      </c>
      <c r="E26" s="18" t="s">
        <v>39</v>
      </c>
      <c r="F26" s="19" t="s">
        <v>40</v>
      </c>
    </row>
    <row r="28" customFormat="false" ht="15" hidden="false" customHeight="false" outlineLevel="0" collapsed="false">
      <c r="A28" s="4" t="s">
        <v>41</v>
      </c>
      <c r="B28" s="5"/>
      <c r="C28" s="5"/>
      <c r="D28" s="5"/>
      <c r="E28" s="5"/>
      <c r="F28" s="5"/>
      <c r="G28" s="5"/>
      <c r="H28" s="5"/>
    </row>
    <row r="29" customFormat="false" ht="30" hidden="false" customHeight="true" outlineLevel="0" collapsed="false">
      <c r="A29" s="6" t="s">
        <v>4</v>
      </c>
      <c r="B29" s="6" t="s">
        <v>5</v>
      </c>
      <c r="C29" s="6" t="s">
        <v>42</v>
      </c>
      <c r="D29" s="6" t="s">
        <v>43</v>
      </c>
      <c r="E29" s="6" t="s">
        <v>44</v>
      </c>
    </row>
    <row r="30" customFormat="false" ht="15" hidden="false" customHeight="false" outlineLevel="0" collapsed="false">
      <c r="A30" s="7" t="s">
        <v>10</v>
      </c>
      <c r="B30" s="8" t="s">
        <v>11</v>
      </c>
      <c r="C30" s="8" t="n">
        <f aca="false">COUNTIFS($D$22:$D$26,B30,$E$22:$E$26,"Yes")</f>
        <v>1</v>
      </c>
      <c r="D30" s="20" t="n">
        <f aca="false">C30*INDEX($C$7:$C$10,MATCH(B30,$B$7:$B$10,0))</f>
        <v>300</v>
      </c>
      <c r="E30" s="10" t="n">
        <f aca="false">D30*12</f>
        <v>3600</v>
      </c>
    </row>
    <row r="31" customFormat="false" ht="15" hidden="false" customHeight="false" outlineLevel="0" collapsed="false">
      <c r="A31" s="7" t="s">
        <v>12</v>
      </c>
      <c r="B31" s="8" t="s">
        <v>13</v>
      </c>
      <c r="C31" s="8" t="n">
        <f aca="false">COUNTIFS($D$22:$D$26,B31,$E$22:$E$26,"Yes")</f>
        <v>1</v>
      </c>
      <c r="D31" s="20" t="n">
        <f aca="false">C31*INDEX($C$7:$C$10,MATCH(B31,$B$7:$B$10,0))</f>
        <v>600</v>
      </c>
      <c r="E31" s="10" t="n">
        <f aca="false">D31*12</f>
        <v>7200</v>
      </c>
    </row>
    <row r="32" customFormat="false" ht="15" hidden="false" customHeight="false" outlineLevel="0" collapsed="false">
      <c r="A32" s="7" t="s">
        <v>14</v>
      </c>
      <c r="B32" s="8" t="s">
        <v>15</v>
      </c>
      <c r="C32" s="8" t="n">
        <f aca="false">COUNTIFS($D$22:$D$26,B32,$E$22:$E$26,"Yes")</f>
        <v>0</v>
      </c>
      <c r="D32" s="20" t="n">
        <f aca="false">C32*INDEX($C$7:$C$10,MATCH(B32,$B$7:$B$10,0))</f>
        <v>0</v>
      </c>
      <c r="E32" s="10" t="n">
        <f aca="false">D32*12</f>
        <v>0</v>
      </c>
    </row>
    <row r="33" customFormat="false" ht="15" hidden="false" customHeight="false" outlineLevel="0" collapsed="false">
      <c r="A33" s="7" t="s">
        <v>16</v>
      </c>
      <c r="B33" s="8" t="s">
        <v>17</v>
      </c>
      <c r="C33" s="8" t="n">
        <f aca="false">COUNTIFS($D$22:$D$26,B33,$E$22:$E$26,"Yes")</f>
        <v>2</v>
      </c>
      <c r="D33" s="20" t="n">
        <f aca="false">C33*INDEX($C$7:$C$10,MATCH(B33,$B$7:$B$10,0))</f>
        <v>2000</v>
      </c>
      <c r="E33" s="10" t="n">
        <f aca="false">D33*12</f>
        <v>24000</v>
      </c>
    </row>
    <row r="34" customFormat="false" ht="15" hidden="false" customHeight="false" outlineLevel="0" collapsed="false">
      <c r="A34" s="21" t="s">
        <v>45</v>
      </c>
      <c r="B34" s="22"/>
      <c r="C34" s="23" t="n">
        <f aca="false">SUM(C30:C33)</f>
        <v>4</v>
      </c>
      <c r="D34" s="24" t="n">
        <f aca="false">SUM(D30:D33)</f>
        <v>2900</v>
      </c>
      <c r="E34" s="25" t="n">
        <f aca="false">SUM(E30:E33)</f>
        <v>34800</v>
      </c>
    </row>
  </sheetData>
  <dataValidations count="1">
    <dataValidation allowBlank="false" errorStyle="stop" operator="between" showDropDown="false" showErrorMessage="false" showInputMessage="false" sqref="E22:E2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2"/>
    <col collapsed="false" customWidth="true" hidden="false" outlineLevel="0" max="9" min="8" style="0" width="15"/>
    <col collapsed="false" customWidth="true" hidden="false" outlineLevel="0" max="10" min="10" style="0" width="22"/>
    <col collapsed="false" customWidth="true" hidden="false" outlineLevel="0" max="11" min="11" style="0" width="15"/>
    <col collapsed="false" customWidth="true" hidden="false" outlineLevel="0" max="15" min="12" style="0" width="11"/>
    <col collapsed="false" customWidth="true" hidden="false" outlineLevel="0" max="16" min="16" style="0" width="50"/>
  </cols>
  <sheetData>
    <row r="1" customFormat="false" ht="18.5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30" hidden="false" customHeight="true" outlineLevel="0" collapsed="false">
      <c r="A4" s="6" t="s">
        <v>48</v>
      </c>
      <c r="B4" s="6" t="s">
        <v>49</v>
      </c>
      <c r="C4" s="6" t="s">
        <v>50</v>
      </c>
      <c r="D4" s="6" t="s">
        <v>51</v>
      </c>
      <c r="E4" s="6" t="s">
        <v>52</v>
      </c>
      <c r="F4" s="6" t="s">
        <v>53</v>
      </c>
      <c r="G4" s="6" t="s">
        <v>54</v>
      </c>
      <c r="H4" s="6" t="s">
        <v>55</v>
      </c>
      <c r="I4" s="6" t="s">
        <v>56</v>
      </c>
      <c r="J4" s="6" t="s">
        <v>57</v>
      </c>
      <c r="K4" s="6" t="s">
        <v>58</v>
      </c>
      <c r="L4" s="6" t="s">
        <v>11</v>
      </c>
      <c r="M4" s="6" t="s">
        <v>13</v>
      </c>
      <c r="N4" s="6" t="s">
        <v>15</v>
      </c>
      <c r="O4" s="6" t="s">
        <v>17</v>
      </c>
      <c r="P4" s="6" t="s">
        <v>29</v>
      </c>
    </row>
    <row r="5" customFormat="false" ht="33.75" hidden="false" customHeight="true" outlineLevel="0" collapsed="false">
      <c r="A5" s="26" t="s">
        <v>59</v>
      </c>
      <c r="B5" s="17" t="s">
        <v>60</v>
      </c>
      <c r="C5" s="16" t="n">
        <v>3400</v>
      </c>
      <c r="D5" s="16" t="n">
        <v>6800</v>
      </c>
      <c r="E5" s="16" t="n">
        <v>5000</v>
      </c>
      <c r="F5" s="16" t="n">
        <v>10000</v>
      </c>
      <c r="G5" s="27" t="n">
        <v>0.8</v>
      </c>
      <c r="H5" s="26" t="s">
        <v>61</v>
      </c>
      <c r="I5" s="26" t="s">
        <v>61</v>
      </c>
      <c r="J5" s="26" t="s">
        <v>62</v>
      </c>
      <c r="K5" s="26" t="s">
        <v>61</v>
      </c>
      <c r="L5" s="28" t="n">
        <v>439.03</v>
      </c>
      <c r="M5" s="28" t="n">
        <v>921.97</v>
      </c>
      <c r="N5" s="28" t="n">
        <v>834.16</v>
      </c>
      <c r="O5" s="28" t="n">
        <v>1361</v>
      </c>
      <c r="P5" s="19" t="s">
        <v>63</v>
      </c>
    </row>
    <row r="6" customFormat="false" ht="33.75" hidden="false" customHeight="true" outlineLevel="0" collapsed="false">
      <c r="A6" s="29" t="s">
        <v>64</v>
      </c>
      <c r="B6" s="30" t="s">
        <v>65</v>
      </c>
      <c r="C6" s="31" t="n">
        <v>2000</v>
      </c>
      <c r="D6" s="31" t="n">
        <v>4000</v>
      </c>
      <c r="E6" s="31" t="n">
        <v>4000</v>
      </c>
      <c r="F6" s="31" t="n">
        <v>8000</v>
      </c>
      <c r="G6" s="32" t="n">
        <v>0.8</v>
      </c>
      <c r="H6" s="29" t="s">
        <v>66</v>
      </c>
      <c r="I6" s="29" t="s">
        <v>67</v>
      </c>
      <c r="J6" s="29" t="s">
        <v>68</v>
      </c>
      <c r="K6" s="29" t="s">
        <v>69</v>
      </c>
      <c r="L6" s="33" t="n">
        <v>492.11</v>
      </c>
      <c r="M6" s="33" t="n">
        <v>1033.43</v>
      </c>
      <c r="N6" s="33" t="n">
        <v>934.01</v>
      </c>
      <c r="O6" s="33" t="n">
        <v>1525.54</v>
      </c>
      <c r="P6" s="34" t="s">
        <v>70</v>
      </c>
    </row>
    <row r="7" customFormat="false" ht="33.75" hidden="false" customHeight="true" outlineLevel="0" collapsed="false">
      <c r="A7" s="26" t="s">
        <v>71</v>
      </c>
      <c r="B7" s="17" t="s">
        <v>65</v>
      </c>
      <c r="C7" s="16" t="n">
        <v>1000</v>
      </c>
      <c r="D7" s="16" t="n">
        <v>2000</v>
      </c>
      <c r="E7" s="16" t="n">
        <v>2000</v>
      </c>
      <c r="F7" s="16" t="n">
        <v>4000</v>
      </c>
      <c r="G7" s="27" t="n">
        <v>0.8</v>
      </c>
      <c r="H7" s="26" t="s">
        <v>72</v>
      </c>
      <c r="I7" s="26" t="s">
        <v>73</v>
      </c>
      <c r="J7" s="26" t="s">
        <v>74</v>
      </c>
      <c r="K7" s="26" t="s">
        <v>75</v>
      </c>
      <c r="L7" s="28" t="n">
        <v>546.33</v>
      </c>
      <c r="M7" s="28" t="n">
        <v>1147.29</v>
      </c>
      <c r="N7" s="28" t="n">
        <v>1038.02</v>
      </c>
      <c r="O7" s="28" t="n">
        <v>1693.61</v>
      </c>
      <c r="P7" s="19" t="s">
        <v>76</v>
      </c>
    </row>
    <row r="9" customFormat="false" ht="15" hidden="false" customHeight="false" outlineLevel="0" collapsed="false">
      <c r="A9" s="2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1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19"/>
    <col collapsed="false" customWidth="true" hidden="false" outlineLevel="0" max="12" min="12" style="0" width="17"/>
    <col collapsed="false" customWidth="true" hidden="false" outlineLevel="0" max="14" min="13" style="0" width="13"/>
    <col collapsed="false" customWidth="true" hidden="false" outlineLevel="0" max="16" min="15" style="0" width="18"/>
    <col collapsed="false" customWidth="true" hidden="true" outlineLevel="0" max="17" min="17" style="0" width="30"/>
  </cols>
  <sheetData>
    <row r="1" customFormat="false" ht="18.5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4" customFormat="false" ht="39.75" hidden="false" customHeight="true" outlineLevel="0" collapsed="false">
      <c r="A4" s="6" t="s">
        <v>48</v>
      </c>
      <c r="B4" s="6" t="s">
        <v>4</v>
      </c>
      <c r="C4" s="6" t="s">
        <v>5</v>
      </c>
      <c r="D4" s="6" t="s">
        <v>42</v>
      </c>
      <c r="E4" s="6" t="s">
        <v>80</v>
      </c>
      <c r="F4" s="6" t="s">
        <v>81</v>
      </c>
      <c r="G4" s="6" t="s">
        <v>82</v>
      </c>
      <c r="H4" s="6" t="s">
        <v>6</v>
      </c>
      <c r="I4" s="6" t="s">
        <v>83</v>
      </c>
      <c r="J4" s="6" t="s">
        <v>84</v>
      </c>
      <c r="K4" s="6" t="s">
        <v>85</v>
      </c>
      <c r="L4" s="6" t="s">
        <v>86</v>
      </c>
      <c r="M4" s="6" t="s">
        <v>87</v>
      </c>
      <c r="N4" s="6" t="s">
        <v>88</v>
      </c>
      <c r="O4" s="6" t="s">
        <v>89</v>
      </c>
      <c r="P4" s="6" t="s">
        <v>90</v>
      </c>
      <c r="Q4" s="35" t="s">
        <v>91</v>
      </c>
    </row>
    <row r="5" customFormat="false" ht="15" hidden="false" customHeight="false" outlineLevel="0" collapsed="false">
      <c r="A5" s="7" t="s">
        <v>59</v>
      </c>
      <c r="B5" s="7" t="s">
        <v>10</v>
      </c>
      <c r="C5" s="8" t="s">
        <v>11</v>
      </c>
      <c r="D5" s="8" t="n">
        <f aca="false">COUNTIFS(Contributions!$D$22:$D$26,$C5,Contributions!$E$22:$E$26,"Yes")</f>
        <v>1</v>
      </c>
      <c r="E5" s="11" t="n">
        <f aca="false">INDEX('Angle Plans'!$L$5:$O$7,MATCH($A5,'Angle Plans'!$A$5:$A$7,0),MATCH($C5,'Angle Plans'!$L$4:$O$4,0))</f>
        <v>439.03</v>
      </c>
      <c r="F5" s="11" t="n">
        <f aca="false">INDEX(Contributions!$C$7:$C$10,MATCH($C5,Contributions!$B$7:$B$10,0))</f>
        <v>300</v>
      </c>
      <c r="G5" s="11" t="n">
        <f aca="false">Contributions!$C$16</f>
        <v>219.515</v>
      </c>
      <c r="H5" s="20" t="n">
        <f aca="false">MIN($E5,MAX($F5,$G5))</f>
        <v>300</v>
      </c>
      <c r="I5" s="20" t="n">
        <f aca="false">$E5-$H5</f>
        <v>139.03</v>
      </c>
      <c r="J5" s="36" t="n">
        <f aca="false">IF($E5=0,0,$H5/$E5)</f>
        <v>0.683324601963419</v>
      </c>
      <c r="K5" s="10" t="n">
        <f aca="false">$H5*$D5*12</f>
        <v>3600</v>
      </c>
      <c r="L5" s="10" t="n">
        <f aca="false">$I5*12</f>
        <v>1668.36</v>
      </c>
      <c r="M5" s="37" t="n">
        <f aca="false">IF($C5="EE",INDEX('Angle Plans'!$C$5:$C$7,MATCH($A5,'Angle Plans'!$A$5:$A$7,0)),INDEX('Angle Plans'!$D$5:$D$7,MATCH($A5,'Angle Plans'!$A$5:$A$7,0)))</f>
        <v>3400</v>
      </c>
      <c r="N5" s="37" t="n">
        <f aca="false">IF($C5="EE",INDEX('Angle Plans'!$E$5:$E$7,MATCH($A5,'Angle Plans'!$A$5:$A$7,0)),INDEX('Angle Plans'!$F$5:$F$7,MATCH($A5,'Angle Plans'!$A$5:$A$7,0)))</f>
        <v>5000</v>
      </c>
      <c r="O5" s="38" t="n">
        <f aca="false">$L5+$N5</f>
        <v>6668.36</v>
      </c>
      <c r="P5" s="10" t="n">
        <f aca="false">$I5*$D5*12</f>
        <v>1668.36</v>
      </c>
      <c r="Q5" s="7" t="str">
        <f aca="false">$A5&amp;"|"&amp;$C5</f>
        <v>ANG HDHP 3400/5000|EE</v>
      </c>
    </row>
    <row r="6" customFormat="false" ht="15" hidden="false" customHeight="false" outlineLevel="0" collapsed="false">
      <c r="A6" s="39" t="s">
        <v>59</v>
      </c>
      <c r="B6" s="39" t="s">
        <v>12</v>
      </c>
      <c r="C6" s="40" t="s">
        <v>13</v>
      </c>
      <c r="D6" s="40" t="n">
        <f aca="false">COUNTIFS(Contributions!$D$22:$D$26,$C6,Contributions!$E$22:$E$26,"Yes")</f>
        <v>1</v>
      </c>
      <c r="E6" s="41" t="n">
        <f aca="false">INDEX('Angle Plans'!$L$5:$O$7,MATCH($A6,'Angle Plans'!$A$5:$A$7,0),MATCH($C6,'Angle Plans'!$L$4:$O$4,0))</f>
        <v>921.97</v>
      </c>
      <c r="F6" s="41" t="n">
        <f aca="false">INDEX(Contributions!$C$7:$C$10,MATCH($C6,Contributions!$B$7:$B$10,0))</f>
        <v>600</v>
      </c>
      <c r="G6" s="41" t="n">
        <f aca="false">Contributions!$C$16</f>
        <v>219.515</v>
      </c>
      <c r="H6" s="42" t="n">
        <f aca="false">MIN($E6,MAX($F6,$G6))</f>
        <v>600</v>
      </c>
      <c r="I6" s="42" t="n">
        <f aca="false">$E6-$H6</f>
        <v>321.97</v>
      </c>
      <c r="J6" s="43" t="n">
        <f aca="false">IF($E6=0,0,$H6/$E6)</f>
        <v>0.650780394155992</v>
      </c>
      <c r="K6" s="44" t="n">
        <f aca="false">$H6*$D6*12</f>
        <v>7200</v>
      </c>
      <c r="L6" s="44" t="n">
        <f aca="false">$I6*12</f>
        <v>3863.64</v>
      </c>
      <c r="M6" s="45" t="n">
        <f aca="false">IF($C6="EE",INDEX('Angle Plans'!$C$5:$C$7,MATCH($A6,'Angle Plans'!$A$5:$A$7,0)),INDEX('Angle Plans'!$D$5:$D$7,MATCH($A6,'Angle Plans'!$A$5:$A$7,0)))</f>
        <v>6800</v>
      </c>
      <c r="N6" s="45" t="n">
        <f aca="false">IF($C6="EE",INDEX('Angle Plans'!$E$5:$E$7,MATCH($A6,'Angle Plans'!$A$5:$A$7,0)),INDEX('Angle Plans'!$F$5:$F$7,MATCH($A6,'Angle Plans'!$A$5:$A$7,0)))</f>
        <v>10000</v>
      </c>
      <c r="O6" s="46" t="n">
        <f aca="false">$L6+$N6</f>
        <v>13863.64</v>
      </c>
      <c r="P6" s="44" t="n">
        <f aca="false">$I6*$D6*12</f>
        <v>3863.64</v>
      </c>
      <c r="Q6" s="7" t="str">
        <f aca="false">$A6&amp;"|"&amp;$C6</f>
        <v>ANG HDHP 3400/5000|ES</v>
      </c>
    </row>
    <row r="7" customFormat="false" ht="15" hidden="false" customHeight="false" outlineLevel="0" collapsed="false">
      <c r="A7" s="7" t="s">
        <v>59</v>
      </c>
      <c r="B7" s="7" t="s">
        <v>14</v>
      </c>
      <c r="C7" s="8" t="s">
        <v>15</v>
      </c>
      <c r="D7" s="8" t="n">
        <f aca="false">COUNTIFS(Contributions!$D$22:$D$26,$C7,Contributions!$E$22:$E$26,"Yes")</f>
        <v>0</v>
      </c>
      <c r="E7" s="11" t="n">
        <f aca="false">INDEX('Angle Plans'!$L$5:$O$7,MATCH($A7,'Angle Plans'!$A$5:$A$7,0),MATCH($C7,'Angle Plans'!$L$4:$O$4,0))</f>
        <v>834.16</v>
      </c>
      <c r="F7" s="11" t="n">
        <f aca="false">INDEX(Contributions!$C$7:$C$10,MATCH($C7,Contributions!$B$7:$B$10,0))</f>
        <v>600</v>
      </c>
      <c r="G7" s="11" t="n">
        <f aca="false">Contributions!$C$16</f>
        <v>219.515</v>
      </c>
      <c r="H7" s="20" t="n">
        <f aca="false">MIN($E7,MAX($F7,$G7))</f>
        <v>600</v>
      </c>
      <c r="I7" s="20" t="n">
        <f aca="false">$E7-$H7</f>
        <v>234.16</v>
      </c>
      <c r="J7" s="36" t="n">
        <f aca="false">IF($E7=0,0,$H7/$E7)</f>
        <v>0.719286467823919</v>
      </c>
      <c r="K7" s="10" t="n">
        <f aca="false">$H7*$D7*12</f>
        <v>0</v>
      </c>
      <c r="L7" s="10" t="n">
        <f aca="false">$I7*12</f>
        <v>2809.92</v>
      </c>
      <c r="M7" s="37" t="n">
        <f aca="false">IF($C7="EE",INDEX('Angle Plans'!$C$5:$C$7,MATCH($A7,'Angle Plans'!$A$5:$A$7,0)),INDEX('Angle Plans'!$D$5:$D$7,MATCH($A7,'Angle Plans'!$A$5:$A$7,0)))</f>
        <v>6800</v>
      </c>
      <c r="N7" s="37" t="n">
        <f aca="false">IF($C7="EE",INDEX('Angle Plans'!$E$5:$E$7,MATCH($A7,'Angle Plans'!$A$5:$A$7,0)),INDEX('Angle Plans'!$F$5:$F$7,MATCH($A7,'Angle Plans'!$A$5:$A$7,0)))</f>
        <v>10000</v>
      </c>
      <c r="O7" s="38" t="n">
        <f aca="false">$L7+$N7</f>
        <v>12809.92</v>
      </c>
      <c r="P7" s="10" t="n">
        <f aca="false">$I7*$D7*12</f>
        <v>0</v>
      </c>
      <c r="Q7" s="7" t="str">
        <f aca="false">$A7&amp;"|"&amp;$C7</f>
        <v>ANG HDHP 3400/5000|EC</v>
      </c>
    </row>
    <row r="8" customFormat="false" ht="15" hidden="false" customHeight="false" outlineLevel="0" collapsed="false">
      <c r="A8" s="39" t="s">
        <v>59</v>
      </c>
      <c r="B8" s="39" t="s">
        <v>16</v>
      </c>
      <c r="C8" s="40" t="s">
        <v>17</v>
      </c>
      <c r="D8" s="40" t="n">
        <f aca="false">COUNTIFS(Contributions!$D$22:$D$26,$C8,Contributions!$E$22:$E$26,"Yes")</f>
        <v>2</v>
      </c>
      <c r="E8" s="41" t="n">
        <f aca="false">INDEX('Angle Plans'!$L$5:$O$7,MATCH($A8,'Angle Plans'!$A$5:$A$7,0),MATCH($C8,'Angle Plans'!$L$4:$O$4,0))</f>
        <v>1361</v>
      </c>
      <c r="F8" s="41" t="n">
        <f aca="false">INDEX(Contributions!$C$7:$C$10,MATCH($C8,Contributions!$B$7:$B$10,0))</f>
        <v>1000</v>
      </c>
      <c r="G8" s="41" t="n">
        <f aca="false">Contributions!$C$16</f>
        <v>219.515</v>
      </c>
      <c r="H8" s="42" t="n">
        <f aca="false">MIN($E8,MAX($F8,$G8))</f>
        <v>1000</v>
      </c>
      <c r="I8" s="42" t="n">
        <f aca="false">$E8-$H8</f>
        <v>361</v>
      </c>
      <c r="J8" s="43" t="n">
        <f aca="false">IF($E8=0,0,$H8/$E8)</f>
        <v>0.734753857457752</v>
      </c>
      <c r="K8" s="44" t="n">
        <f aca="false">$H8*$D8*12</f>
        <v>24000</v>
      </c>
      <c r="L8" s="44" t="n">
        <f aca="false">$I8*12</f>
        <v>4332</v>
      </c>
      <c r="M8" s="45" t="n">
        <f aca="false">IF($C8="EE",INDEX('Angle Plans'!$C$5:$C$7,MATCH($A8,'Angle Plans'!$A$5:$A$7,0)),INDEX('Angle Plans'!$D$5:$D$7,MATCH($A8,'Angle Plans'!$A$5:$A$7,0)))</f>
        <v>6800</v>
      </c>
      <c r="N8" s="45" t="n">
        <f aca="false">IF($C8="EE",INDEX('Angle Plans'!$E$5:$E$7,MATCH($A8,'Angle Plans'!$A$5:$A$7,0)),INDEX('Angle Plans'!$F$5:$F$7,MATCH($A8,'Angle Plans'!$A$5:$A$7,0)))</f>
        <v>10000</v>
      </c>
      <c r="O8" s="46" t="n">
        <f aca="false">$L8+$N8</f>
        <v>14332</v>
      </c>
      <c r="P8" s="44" t="n">
        <f aca="false">$I8*$D8*12</f>
        <v>8664</v>
      </c>
      <c r="Q8" s="7" t="str">
        <f aca="false">$A8&amp;"|"&amp;$C8</f>
        <v>ANG HDHP 3400/5000|FAM</v>
      </c>
    </row>
    <row r="9" customFormat="false" ht="15" hidden="false" customHeight="false" outlineLevel="0" collapsed="false">
      <c r="A9" s="7" t="s">
        <v>64</v>
      </c>
      <c r="B9" s="7" t="s">
        <v>10</v>
      </c>
      <c r="C9" s="8" t="s">
        <v>11</v>
      </c>
      <c r="D9" s="8" t="n">
        <f aca="false">COUNTIFS(Contributions!$D$22:$D$26,$C9,Contributions!$E$22:$E$26,"Yes")</f>
        <v>1</v>
      </c>
      <c r="E9" s="11" t="n">
        <f aca="false">INDEX('Angle Plans'!$L$5:$O$7,MATCH($A9,'Angle Plans'!$A$5:$A$7,0),MATCH($C9,'Angle Plans'!$L$4:$O$4,0))</f>
        <v>492.11</v>
      </c>
      <c r="F9" s="11" t="n">
        <f aca="false">INDEX(Contributions!$C$7:$C$10,MATCH($C9,Contributions!$B$7:$B$10,0))</f>
        <v>300</v>
      </c>
      <c r="G9" s="11" t="n">
        <f aca="false">Contributions!$C$16</f>
        <v>219.515</v>
      </c>
      <c r="H9" s="20" t="n">
        <f aca="false">MIN($E9,MAX($F9,$G9))</f>
        <v>300</v>
      </c>
      <c r="I9" s="20" t="n">
        <f aca="false">$E9-$H9</f>
        <v>192.11</v>
      </c>
      <c r="J9" s="36" t="n">
        <f aca="false">IF($E9=0,0,$H9/$E9)</f>
        <v>0.609619800451119</v>
      </c>
      <c r="K9" s="10" t="n">
        <f aca="false">$H9*$D9*12</f>
        <v>3600</v>
      </c>
      <c r="L9" s="10" t="n">
        <f aca="false">$I9*12</f>
        <v>2305.32</v>
      </c>
      <c r="M9" s="37" t="n">
        <f aca="false">IF($C9="EE",INDEX('Angle Plans'!$C$5:$C$7,MATCH($A9,'Angle Plans'!$A$5:$A$7,0)),INDEX('Angle Plans'!$D$5:$D$7,MATCH($A9,'Angle Plans'!$A$5:$A$7,0)))</f>
        <v>2000</v>
      </c>
      <c r="N9" s="37" t="n">
        <f aca="false">IF($C9="EE",INDEX('Angle Plans'!$E$5:$E$7,MATCH($A9,'Angle Plans'!$A$5:$A$7,0)),INDEX('Angle Plans'!$F$5:$F$7,MATCH($A9,'Angle Plans'!$A$5:$A$7,0)))</f>
        <v>4000</v>
      </c>
      <c r="O9" s="38" t="n">
        <f aca="false">$L9+$N9</f>
        <v>6305.32</v>
      </c>
      <c r="P9" s="10" t="n">
        <f aca="false">$I9*$D9*12</f>
        <v>2305.32</v>
      </c>
      <c r="Q9" s="7" t="str">
        <f aca="false">$A9&amp;"|"&amp;$C9</f>
        <v>ANG TRAD 2000/4000|EE</v>
      </c>
    </row>
    <row r="10" customFormat="false" ht="15" hidden="false" customHeight="false" outlineLevel="0" collapsed="false">
      <c r="A10" s="39" t="s">
        <v>64</v>
      </c>
      <c r="B10" s="39" t="s">
        <v>12</v>
      </c>
      <c r="C10" s="40" t="s">
        <v>13</v>
      </c>
      <c r="D10" s="40" t="n">
        <f aca="false">COUNTIFS(Contributions!$D$22:$D$26,$C10,Contributions!$E$22:$E$26,"Yes")</f>
        <v>1</v>
      </c>
      <c r="E10" s="41" t="n">
        <f aca="false">INDEX('Angle Plans'!$L$5:$O$7,MATCH($A10,'Angle Plans'!$A$5:$A$7,0),MATCH($C10,'Angle Plans'!$L$4:$O$4,0))</f>
        <v>1033.43</v>
      </c>
      <c r="F10" s="41" t="n">
        <f aca="false">INDEX(Contributions!$C$7:$C$10,MATCH($C10,Contributions!$B$7:$B$10,0))</f>
        <v>600</v>
      </c>
      <c r="G10" s="41" t="n">
        <f aca="false">Contributions!$C$16</f>
        <v>219.515</v>
      </c>
      <c r="H10" s="42" t="n">
        <f aca="false">MIN($E10,MAX($F10,$G10))</f>
        <v>600</v>
      </c>
      <c r="I10" s="42" t="n">
        <f aca="false">$E10-$H10</f>
        <v>433.43</v>
      </c>
      <c r="J10" s="43" t="n">
        <f aca="false">IF($E10=0,0,$H10/$E10)</f>
        <v>0.580590847952933</v>
      </c>
      <c r="K10" s="44" t="n">
        <f aca="false">$H10*$D10*12</f>
        <v>7200</v>
      </c>
      <c r="L10" s="44" t="n">
        <f aca="false">$I10*12</f>
        <v>5201.16</v>
      </c>
      <c r="M10" s="45" t="n">
        <f aca="false">IF($C10="EE",INDEX('Angle Plans'!$C$5:$C$7,MATCH($A10,'Angle Plans'!$A$5:$A$7,0)),INDEX('Angle Plans'!$D$5:$D$7,MATCH($A10,'Angle Plans'!$A$5:$A$7,0)))</f>
        <v>4000</v>
      </c>
      <c r="N10" s="45" t="n">
        <f aca="false">IF($C10="EE",INDEX('Angle Plans'!$E$5:$E$7,MATCH($A10,'Angle Plans'!$A$5:$A$7,0)),INDEX('Angle Plans'!$F$5:$F$7,MATCH($A10,'Angle Plans'!$A$5:$A$7,0)))</f>
        <v>8000</v>
      </c>
      <c r="O10" s="46" t="n">
        <f aca="false">$L10+$N10</f>
        <v>13201.16</v>
      </c>
      <c r="P10" s="44" t="n">
        <f aca="false">$I10*$D10*12</f>
        <v>5201.16</v>
      </c>
      <c r="Q10" s="7" t="str">
        <f aca="false">$A10&amp;"|"&amp;$C10</f>
        <v>ANG TRAD 2000/4000|ES</v>
      </c>
    </row>
    <row r="11" customFormat="false" ht="15" hidden="false" customHeight="false" outlineLevel="0" collapsed="false">
      <c r="A11" s="7" t="s">
        <v>64</v>
      </c>
      <c r="B11" s="7" t="s">
        <v>14</v>
      </c>
      <c r="C11" s="8" t="s">
        <v>15</v>
      </c>
      <c r="D11" s="8" t="n">
        <f aca="false">COUNTIFS(Contributions!$D$22:$D$26,$C11,Contributions!$E$22:$E$26,"Yes")</f>
        <v>0</v>
      </c>
      <c r="E11" s="11" t="n">
        <f aca="false">INDEX('Angle Plans'!$L$5:$O$7,MATCH($A11,'Angle Plans'!$A$5:$A$7,0),MATCH($C11,'Angle Plans'!$L$4:$O$4,0))</f>
        <v>934.01</v>
      </c>
      <c r="F11" s="11" t="n">
        <f aca="false">INDEX(Contributions!$C$7:$C$10,MATCH($C11,Contributions!$B$7:$B$10,0))</f>
        <v>600</v>
      </c>
      <c r="G11" s="11" t="n">
        <f aca="false">Contributions!$C$16</f>
        <v>219.515</v>
      </c>
      <c r="H11" s="20" t="n">
        <f aca="false">MIN($E11,MAX($F11,$G11))</f>
        <v>600</v>
      </c>
      <c r="I11" s="20" t="n">
        <f aca="false">$E11-$H11</f>
        <v>334.01</v>
      </c>
      <c r="J11" s="36" t="n">
        <f aca="false">IF($E11=0,0,$H11/$E11)</f>
        <v>0.642391409085556</v>
      </c>
      <c r="K11" s="10" t="n">
        <f aca="false">$H11*$D11*12</f>
        <v>0</v>
      </c>
      <c r="L11" s="10" t="n">
        <f aca="false">$I11*12</f>
        <v>4008.12</v>
      </c>
      <c r="M11" s="37" t="n">
        <f aca="false">IF($C11="EE",INDEX('Angle Plans'!$C$5:$C$7,MATCH($A11,'Angle Plans'!$A$5:$A$7,0)),INDEX('Angle Plans'!$D$5:$D$7,MATCH($A11,'Angle Plans'!$A$5:$A$7,0)))</f>
        <v>4000</v>
      </c>
      <c r="N11" s="37" t="n">
        <f aca="false">IF($C11="EE",INDEX('Angle Plans'!$E$5:$E$7,MATCH($A11,'Angle Plans'!$A$5:$A$7,0)),INDEX('Angle Plans'!$F$5:$F$7,MATCH($A11,'Angle Plans'!$A$5:$A$7,0)))</f>
        <v>8000</v>
      </c>
      <c r="O11" s="38" t="n">
        <f aca="false">$L11+$N11</f>
        <v>12008.12</v>
      </c>
      <c r="P11" s="10" t="n">
        <f aca="false">$I11*$D11*12</f>
        <v>0</v>
      </c>
      <c r="Q11" s="7" t="str">
        <f aca="false">$A11&amp;"|"&amp;$C11</f>
        <v>ANG TRAD 2000/4000|EC</v>
      </c>
    </row>
    <row r="12" customFormat="false" ht="15" hidden="false" customHeight="false" outlineLevel="0" collapsed="false">
      <c r="A12" s="39" t="s">
        <v>64</v>
      </c>
      <c r="B12" s="39" t="s">
        <v>16</v>
      </c>
      <c r="C12" s="40" t="s">
        <v>17</v>
      </c>
      <c r="D12" s="40" t="n">
        <f aca="false">COUNTIFS(Contributions!$D$22:$D$26,$C12,Contributions!$E$22:$E$26,"Yes")</f>
        <v>2</v>
      </c>
      <c r="E12" s="41" t="n">
        <f aca="false">INDEX('Angle Plans'!$L$5:$O$7,MATCH($A12,'Angle Plans'!$A$5:$A$7,0),MATCH($C12,'Angle Plans'!$L$4:$O$4,0))</f>
        <v>1525.54</v>
      </c>
      <c r="F12" s="41" t="n">
        <f aca="false">INDEX(Contributions!$C$7:$C$10,MATCH($C12,Contributions!$B$7:$B$10,0))</f>
        <v>1000</v>
      </c>
      <c r="G12" s="41" t="n">
        <f aca="false">Contributions!$C$16</f>
        <v>219.515</v>
      </c>
      <c r="H12" s="42" t="n">
        <f aca="false">MIN($E12,MAX($F12,$G12))</f>
        <v>1000</v>
      </c>
      <c r="I12" s="42" t="n">
        <f aca="false">$E12-$H12</f>
        <v>525.54</v>
      </c>
      <c r="J12" s="43" t="n">
        <f aca="false">IF($E12=0,0,$H12/$E12)</f>
        <v>0.655505591462695</v>
      </c>
      <c r="K12" s="44" t="n">
        <f aca="false">$H12*$D12*12</f>
        <v>24000</v>
      </c>
      <c r="L12" s="44" t="n">
        <f aca="false">$I12*12</f>
        <v>6306.48</v>
      </c>
      <c r="M12" s="45" t="n">
        <f aca="false">IF($C12="EE",INDEX('Angle Plans'!$C$5:$C$7,MATCH($A12,'Angle Plans'!$A$5:$A$7,0)),INDEX('Angle Plans'!$D$5:$D$7,MATCH($A12,'Angle Plans'!$A$5:$A$7,0)))</f>
        <v>4000</v>
      </c>
      <c r="N12" s="45" t="n">
        <f aca="false">IF($C12="EE",INDEX('Angle Plans'!$E$5:$E$7,MATCH($A12,'Angle Plans'!$A$5:$A$7,0)),INDEX('Angle Plans'!$F$5:$F$7,MATCH($A12,'Angle Plans'!$A$5:$A$7,0)))</f>
        <v>8000</v>
      </c>
      <c r="O12" s="46" t="n">
        <f aca="false">$L12+$N12</f>
        <v>14306.48</v>
      </c>
      <c r="P12" s="44" t="n">
        <f aca="false">$I12*$D12*12</f>
        <v>12612.96</v>
      </c>
      <c r="Q12" s="7" t="str">
        <f aca="false">$A12&amp;"|"&amp;$C12</f>
        <v>ANG TRAD 2000/4000|FAM</v>
      </c>
    </row>
    <row r="13" customFormat="false" ht="15" hidden="false" customHeight="false" outlineLevel="0" collapsed="false">
      <c r="A13" s="7" t="s">
        <v>71</v>
      </c>
      <c r="B13" s="7" t="s">
        <v>10</v>
      </c>
      <c r="C13" s="8" t="s">
        <v>11</v>
      </c>
      <c r="D13" s="8" t="n">
        <f aca="false">COUNTIFS(Contributions!$D$22:$D$26,$C13,Contributions!$E$22:$E$26,"Yes")</f>
        <v>1</v>
      </c>
      <c r="E13" s="11" t="n">
        <f aca="false">INDEX('Angle Plans'!$L$5:$O$7,MATCH($A13,'Angle Plans'!$A$5:$A$7,0),MATCH($C13,'Angle Plans'!$L$4:$O$4,0))</f>
        <v>546.33</v>
      </c>
      <c r="F13" s="11" t="n">
        <f aca="false">INDEX(Contributions!$C$7:$C$10,MATCH($C13,Contributions!$B$7:$B$10,0))</f>
        <v>300</v>
      </c>
      <c r="G13" s="11" t="n">
        <f aca="false">Contributions!$C$16</f>
        <v>219.515</v>
      </c>
      <c r="H13" s="20" t="n">
        <f aca="false">MIN($E13,MAX($F13,$G13))</f>
        <v>300</v>
      </c>
      <c r="I13" s="20" t="n">
        <f aca="false">$E13-$H13</f>
        <v>246.33</v>
      </c>
      <c r="J13" s="36" t="n">
        <f aca="false">IF($E13=0,0,$H13/$E13)</f>
        <v>0.549118664543408</v>
      </c>
      <c r="K13" s="10" t="n">
        <f aca="false">$H13*$D13*12</f>
        <v>3600</v>
      </c>
      <c r="L13" s="10" t="n">
        <f aca="false">$I13*12</f>
        <v>2955.96</v>
      </c>
      <c r="M13" s="37" t="n">
        <f aca="false">IF($C13="EE",INDEX('Angle Plans'!$C$5:$C$7,MATCH($A13,'Angle Plans'!$A$5:$A$7,0)),INDEX('Angle Plans'!$D$5:$D$7,MATCH($A13,'Angle Plans'!$A$5:$A$7,0)))</f>
        <v>1000</v>
      </c>
      <c r="N13" s="37" t="n">
        <f aca="false">IF($C13="EE",INDEX('Angle Plans'!$E$5:$E$7,MATCH($A13,'Angle Plans'!$A$5:$A$7,0)),INDEX('Angle Plans'!$F$5:$F$7,MATCH($A13,'Angle Plans'!$A$5:$A$7,0)))</f>
        <v>2000</v>
      </c>
      <c r="O13" s="38" t="n">
        <f aca="false">$L13+$N13</f>
        <v>4955.96</v>
      </c>
      <c r="P13" s="10" t="n">
        <f aca="false">$I13*$D13*12</f>
        <v>2955.96</v>
      </c>
      <c r="Q13" s="7" t="str">
        <f aca="false">$A13&amp;"|"&amp;$C13</f>
        <v>ANG TRAD 1000/2000|EE</v>
      </c>
    </row>
    <row r="14" customFormat="false" ht="15" hidden="false" customHeight="false" outlineLevel="0" collapsed="false">
      <c r="A14" s="39" t="s">
        <v>71</v>
      </c>
      <c r="B14" s="39" t="s">
        <v>12</v>
      </c>
      <c r="C14" s="40" t="s">
        <v>13</v>
      </c>
      <c r="D14" s="40" t="n">
        <f aca="false">COUNTIFS(Contributions!$D$22:$D$26,$C14,Contributions!$E$22:$E$26,"Yes")</f>
        <v>1</v>
      </c>
      <c r="E14" s="41" t="n">
        <f aca="false">INDEX('Angle Plans'!$L$5:$O$7,MATCH($A14,'Angle Plans'!$A$5:$A$7,0),MATCH($C14,'Angle Plans'!$L$4:$O$4,0))</f>
        <v>1147.29</v>
      </c>
      <c r="F14" s="41" t="n">
        <f aca="false">INDEX(Contributions!$C$7:$C$10,MATCH($C14,Contributions!$B$7:$B$10,0))</f>
        <v>600</v>
      </c>
      <c r="G14" s="41" t="n">
        <f aca="false">Contributions!$C$16</f>
        <v>219.515</v>
      </c>
      <c r="H14" s="42" t="n">
        <f aca="false">MIN($E14,MAX($F14,$G14))</f>
        <v>600</v>
      </c>
      <c r="I14" s="42" t="n">
        <f aca="false">$E14-$H14</f>
        <v>547.29</v>
      </c>
      <c r="J14" s="43" t="n">
        <f aca="false">IF($E14=0,0,$H14/$E14)</f>
        <v>0.522971524200507</v>
      </c>
      <c r="K14" s="44" t="n">
        <f aca="false">$H14*$D14*12</f>
        <v>7200</v>
      </c>
      <c r="L14" s="44" t="n">
        <f aca="false">$I14*12</f>
        <v>6567.48</v>
      </c>
      <c r="M14" s="45" t="n">
        <f aca="false">IF($C14="EE",INDEX('Angle Plans'!$C$5:$C$7,MATCH($A14,'Angle Plans'!$A$5:$A$7,0)),INDEX('Angle Plans'!$D$5:$D$7,MATCH($A14,'Angle Plans'!$A$5:$A$7,0)))</f>
        <v>2000</v>
      </c>
      <c r="N14" s="45" t="n">
        <f aca="false">IF($C14="EE",INDEX('Angle Plans'!$E$5:$E$7,MATCH($A14,'Angle Plans'!$A$5:$A$7,0)),INDEX('Angle Plans'!$F$5:$F$7,MATCH($A14,'Angle Plans'!$A$5:$A$7,0)))</f>
        <v>4000</v>
      </c>
      <c r="O14" s="46" t="n">
        <f aca="false">$L14+$N14</f>
        <v>10567.48</v>
      </c>
      <c r="P14" s="44" t="n">
        <f aca="false">$I14*$D14*12</f>
        <v>6567.48</v>
      </c>
      <c r="Q14" s="7" t="str">
        <f aca="false">$A14&amp;"|"&amp;$C14</f>
        <v>ANG TRAD 1000/2000|ES</v>
      </c>
    </row>
    <row r="15" customFormat="false" ht="15" hidden="false" customHeight="false" outlineLevel="0" collapsed="false">
      <c r="A15" s="7" t="s">
        <v>71</v>
      </c>
      <c r="B15" s="7" t="s">
        <v>14</v>
      </c>
      <c r="C15" s="8" t="s">
        <v>15</v>
      </c>
      <c r="D15" s="8" t="n">
        <f aca="false">COUNTIFS(Contributions!$D$22:$D$26,$C15,Contributions!$E$22:$E$26,"Yes")</f>
        <v>0</v>
      </c>
      <c r="E15" s="11" t="n">
        <f aca="false">INDEX('Angle Plans'!$L$5:$O$7,MATCH($A15,'Angle Plans'!$A$5:$A$7,0),MATCH($C15,'Angle Plans'!$L$4:$O$4,0))</f>
        <v>1038.02</v>
      </c>
      <c r="F15" s="11" t="n">
        <f aca="false">INDEX(Contributions!$C$7:$C$10,MATCH($C15,Contributions!$B$7:$B$10,0))</f>
        <v>600</v>
      </c>
      <c r="G15" s="11" t="n">
        <f aca="false">Contributions!$C$16</f>
        <v>219.515</v>
      </c>
      <c r="H15" s="20" t="n">
        <f aca="false">MIN($E15,MAX($F15,$G15))</f>
        <v>600</v>
      </c>
      <c r="I15" s="20" t="n">
        <f aca="false">$E15-$H15</f>
        <v>438.02</v>
      </c>
      <c r="J15" s="36" t="n">
        <f aca="false">IF($E15=0,0,$H15/$E15)</f>
        <v>0.578023544825726</v>
      </c>
      <c r="K15" s="10" t="n">
        <f aca="false">$H15*$D15*12</f>
        <v>0</v>
      </c>
      <c r="L15" s="10" t="n">
        <f aca="false">$I15*12</f>
        <v>5256.24</v>
      </c>
      <c r="M15" s="37" t="n">
        <f aca="false">IF($C15="EE",INDEX('Angle Plans'!$C$5:$C$7,MATCH($A15,'Angle Plans'!$A$5:$A$7,0)),INDEX('Angle Plans'!$D$5:$D$7,MATCH($A15,'Angle Plans'!$A$5:$A$7,0)))</f>
        <v>2000</v>
      </c>
      <c r="N15" s="37" t="n">
        <f aca="false">IF($C15="EE",INDEX('Angle Plans'!$E$5:$E$7,MATCH($A15,'Angle Plans'!$A$5:$A$7,0)),INDEX('Angle Plans'!$F$5:$F$7,MATCH($A15,'Angle Plans'!$A$5:$A$7,0)))</f>
        <v>4000</v>
      </c>
      <c r="O15" s="38" t="n">
        <f aca="false">$L15+$N15</f>
        <v>9256.24</v>
      </c>
      <c r="P15" s="10" t="n">
        <f aca="false">$I15*$D15*12</f>
        <v>0</v>
      </c>
      <c r="Q15" s="7" t="str">
        <f aca="false">$A15&amp;"|"&amp;$C15</f>
        <v>ANG TRAD 1000/2000|EC</v>
      </c>
    </row>
    <row r="16" customFormat="false" ht="15" hidden="false" customHeight="false" outlineLevel="0" collapsed="false">
      <c r="A16" s="39" t="s">
        <v>71</v>
      </c>
      <c r="B16" s="39" t="s">
        <v>16</v>
      </c>
      <c r="C16" s="40" t="s">
        <v>17</v>
      </c>
      <c r="D16" s="40" t="n">
        <f aca="false">COUNTIFS(Contributions!$D$22:$D$26,$C16,Contributions!$E$22:$E$26,"Yes")</f>
        <v>2</v>
      </c>
      <c r="E16" s="41" t="n">
        <f aca="false">INDEX('Angle Plans'!$L$5:$O$7,MATCH($A16,'Angle Plans'!$A$5:$A$7,0),MATCH($C16,'Angle Plans'!$L$4:$O$4,0))</f>
        <v>1693.61</v>
      </c>
      <c r="F16" s="41" t="n">
        <f aca="false">INDEX(Contributions!$C$7:$C$10,MATCH($C16,Contributions!$B$7:$B$10,0))</f>
        <v>1000</v>
      </c>
      <c r="G16" s="41" t="n">
        <f aca="false">Contributions!$C$16</f>
        <v>219.515</v>
      </c>
      <c r="H16" s="42" t="n">
        <f aca="false">MIN($E16,MAX($F16,$G16))</f>
        <v>1000</v>
      </c>
      <c r="I16" s="42" t="n">
        <f aca="false">$E16-$H16</f>
        <v>693.61</v>
      </c>
      <c r="J16" s="43" t="n">
        <f aca="false">IF($E16=0,0,$H16/$E16)</f>
        <v>0.590454709171533</v>
      </c>
      <c r="K16" s="44" t="n">
        <f aca="false">$H16*$D16*12</f>
        <v>24000</v>
      </c>
      <c r="L16" s="44" t="n">
        <f aca="false">$I16*12</f>
        <v>8323.32</v>
      </c>
      <c r="M16" s="45" t="n">
        <f aca="false">IF($C16="EE",INDEX('Angle Plans'!$C$5:$C$7,MATCH($A16,'Angle Plans'!$A$5:$A$7,0)),INDEX('Angle Plans'!$D$5:$D$7,MATCH($A16,'Angle Plans'!$A$5:$A$7,0)))</f>
        <v>2000</v>
      </c>
      <c r="N16" s="45" t="n">
        <f aca="false">IF($C16="EE",INDEX('Angle Plans'!$E$5:$E$7,MATCH($A16,'Angle Plans'!$A$5:$A$7,0)),INDEX('Angle Plans'!$F$5:$F$7,MATCH($A16,'Angle Plans'!$A$5:$A$7,0)))</f>
        <v>4000</v>
      </c>
      <c r="O16" s="46" t="n">
        <f aca="false">$L16+$N16</f>
        <v>12323.32</v>
      </c>
      <c r="P16" s="44" t="n">
        <f aca="false">$I16*$D16*12</f>
        <v>16646.64</v>
      </c>
      <c r="Q16" s="7" t="str">
        <f aca="false">$A16&amp;"|"&amp;$C16</f>
        <v>ANG TRAD 1000/2000|FAM</v>
      </c>
    </row>
    <row r="18" customFormat="false" ht="15" hidden="false" customHeight="false" outlineLevel="0" collapsed="false">
      <c r="A18" s="2" t="s">
        <v>92</v>
      </c>
    </row>
    <row r="19" customFormat="false" ht="15" hidden="false" customHeight="false" outlineLevel="0" collapsed="false">
      <c r="A19" s="2" t="s">
        <v>93</v>
      </c>
    </row>
  </sheetData>
  <autoFilter ref="A4:P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21"/>
    <col collapsed="false" customWidth="true" hidden="false" outlineLevel="0" max="4" min="4" style="0" width="7"/>
    <col collapsed="false" customWidth="true" hidden="false" outlineLevel="0" max="5" min="5" style="0" width="24"/>
    <col collapsed="false" customWidth="true" hidden="false" outlineLevel="0" max="9" min="6" style="0" width="14"/>
    <col collapsed="false" customWidth="true" hidden="false" outlineLevel="0" max="11" min="10" style="0" width="13"/>
    <col collapsed="false" customWidth="true" hidden="false" outlineLevel="0" max="12" min="12" style="0" width="16"/>
  </cols>
  <sheetData>
    <row r="1" customFormat="false" ht="18.5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33.75" hidden="false" customHeight="true" outlineLevel="0" collapsed="false">
      <c r="A4" s="6" t="s">
        <v>25</v>
      </c>
      <c r="B4" s="6" t="s">
        <v>28</v>
      </c>
      <c r="C4" s="6" t="s">
        <v>4</v>
      </c>
      <c r="D4" s="6" t="s">
        <v>5</v>
      </c>
      <c r="E4" s="6" t="s">
        <v>48</v>
      </c>
      <c r="F4" s="6" t="s">
        <v>80</v>
      </c>
      <c r="G4" s="6" t="s">
        <v>6</v>
      </c>
      <c r="H4" s="6" t="s">
        <v>96</v>
      </c>
      <c r="I4" s="6" t="s">
        <v>97</v>
      </c>
      <c r="J4" s="6" t="s">
        <v>87</v>
      </c>
      <c r="K4" s="6" t="s">
        <v>88</v>
      </c>
      <c r="L4" s="6" t="s">
        <v>98</v>
      </c>
    </row>
    <row r="5" customFormat="false" ht="15" hidden="false" customHeight="false" outlineLevel="0" collapsed="false">
      <c r="A5" s="7" t="s">
        <v>30</v>
      </c>
      <c r="B5" s="47" t="str">
        <f aca="false">Contributions!$E$22</f>
        <v>Yes</v>
      </c>
      <c r="C5" s="7" t="s">
        <v>16</v>
      </c>
      <c r="D5" s="8" t="s">
        <v>17</v>
      </c>
      <c r="E5" s="7" t="s">
        <v>59</v>
      </c>
      <c r="F5" s="11" t="n">
        <f aca="false">INDEX('Cost by Tier'!$E$5:$E$16,MATCH($E5&amp;"|"&amp;$D5,CostKey,0))</f>
        <v>1361</v>
      </c>
      <c r="G5" s="11" t="n">
        <f aca="false">INDEX('Cost by Tier'!$H$5:$H$16,MATCH($E5&amp;"|"&amp;$D5,CostKey,0))</f>
        <v>1000</v>
      </c>
      <c r="H5" s="11" t="n">
        <f aca="false">INDEX('Cost by Tier'!$I$5:$I$16,MATCH($E5&amp;"|"&amp;$D5,CostKey,0))</f>
        <v>361</v>
      </c>
      <c r="I5" s="37" t="n">
        <f aca="false">INDEX('Cost by Tier'!$L$5:$L$16,MATCH($E5&amp;"|"&amp;$D5,CostKey,0))</f>
        <v>4332</v>
      </c>
      <c r="J5" s="37" t="n">
        <f aca="false">INDEX('Cost by Tier'!$M$5:$M$16,MATCH($E5&amp;"|"&amp;$D5,CostKey,0))</f>
        <v>6800</v>
      </c>
      <c r="K5" s="37" t="n">
        <f aca="false">INDEX('Cost by Tier'!$N$5:$N$16,MATCH($E5&amp;"|"&amp;$D5,CostKey,0))</f>
        <v>10000</v>
      </c>
      <c r="L5" s="48" t="n">
        <f aca="false">INDEX('Cost by Tier'!$O$5:$O$16,MATCH($E5&amp;"|"&amp;$D5,CostKey,0))</f>
        <v>14332</v>
      </c>
    </row>
    <row r="6" customFormat="false" ht="15" hidden="false" customHeight="false" outlineLevel="0" collapsed="false">
      <c r="A6" s="7" t="s">
        <v>30</v>
      </c>
      <c r="B6" s="47" t="str">
        <f aca="false">Contributions!$E$22</f>
        <v>Yes</v>
      </c>
      <c r="C6" s="7" t="s">
        <v>16</v>
      </c>
      <c r="D6" s="8" t="s">
        <v>17</v>
      </c>
      <c r="E6" s="7" t="s">
        <v>64</v>
      </c>
      <c r="F6" s="11" t="n">
        <f aca="false">INDEX('Cost by Tier'!$E$5:$E$16,MATCH($E6&amp;"|"&amp;$D6,CostKey,0))</f>
        <v>1525.54</v>
      </c>
      <c r="G6" s="11" t="n">
        <f aca="false">INDEX('Cost by Tier'!$H$5:$H$16,MATCH($E6&amp;"|"&amp;$D6,CostKey,0))</f>
        <v>1000</v>
      </c>
      <c r="H6" s="11" t="n">
        <f aca="false">INDEX('Cost by Tier'!$I$5:$I$16,MATCH($E6&amp;"|"&amp;$D6,CostKey,0))</f>
        <v>525.54</v>
      </c>
      <c r="I6" s="37" t="n">
        <f aca="false">INDEX('Cost by Tier'!$L$5:$L$16,MATCH($E6&amp;"|"&amp;$D6,CostKey,0))</f>
        <v>6306.48</v>
      </c>
      <c r="J6" s="37" t="n">
        <f aca="false">INDEX('Cost by Tier'!$M$5:$M$16,MATCH($E6&amp;"|"&amp;$D6,CostKey,0))</f>
        <v>4000</v>
      </c>
      <c r="K6" s="37" t="n">
        <f aca="false">INDEX('Cost by Tier'!$N$5:$N$16,MATCH($E6&amp;"|"&amp;$D6,CostKey,0))</f>
        <v>8000</v>
      </c>
      <c r="L6" s="48" t="n">
        <f aca="false">INDEX('Cost by Tier'!$O$5:$O$16,MATCH($E6&amp;"|"&amp;$D6,CostKey,0))</f>
        <v>14306.48</v>
      </c>
    </row>
    <row r="7" customFormat="false" ht="15" hidden="false" customHeight="false" outlineLevel="0" collapsed="false">
      <c r="A7" s="7" t="s">
        <v>30</v>
      </c>
      <c r="B7" s="47" t="str">
        <f aca="false">Contributions!$E$22</f>
        <v>Yes</v>
      </c>
      <c r="C7" s="7" t="s">
        <v>16</v>
      </c>
      <c r="D7" s="8" t="s">
        <v>17</v>
      </c>
      <c r="E7" s="7" t="s">
        <v>71</v>
      </c>
      <c r="F7" s="11" t="n">
        <f aca="false">INDEX('Cost by Tier'!$E$5:$E$16,MATCH($E7&amp;"|"&amp;$D7,CostKey,0))</f>
        <v>1693.61</v>
      </c>
      <c r="G7" s="11" t="n">
        <f aca="false">INDEX('Cost by Tier'!$H$5:$H$16,MATCH($E7&amp;"|"&amp;$D7,CostKey,0))</f>
        <v>1000</v>
      </c>
      <c r="H7" s="11" t="n">
        <f aca="false">INDEX('Cost by Tier'!$I$5:$I$16,MATCH($E7&amp;"|"&amp;$D7,CostKey,0))</f>
        <v>693.61</v>
      </c>
      <c r="I7" s="37" t="n">
        <f aca="false">INDEX('Cost by Tier'!$L$5:$L$16,MATCH($E7&amp;"|"&amp;$D7,CostKey,0))</f>
        <v>8323.32</v>
      </c>
      <c r="J7" s="37" t="n">
        <f aca="false">INDEX('Cost by Tier'!$M$5:$M$16,MATCH($E7&amp;"|"&amp;$D7,CostKey,0))</f>
        <v>2000</v>
      </c>
      <c r="K7" s="37" t="n">
        <f aca="false">INDEX('Cost by Tier'!$N$5:$N$16,MATCH($E7&amp;"|"&amp;$D7,CostKey,0))</f>
        <v>4000</v>
      </c>
      <c r="L7" s="48" t="n">
        <f aca="false">INDEX('Cost by Tier'!$O$5:$O$16,MATCH($E7&amp;"|"&amp;$D7,CostKey,0))</f>
        <v>12323.32</v>
      </c>
    </row>
    <row r="8" customFormat="false" ht="15" hidden="false" customHeight="false" outlineLevel="0" collapsed="false">
      <c r="A8" s="7" t="s">
        <v>33</v>
      </c>
      <c r="B8" s="47" t="str">
        <f aca="false">Contributions!$E$23</f>
        <v>Yes</v>
      </c>
      <c r="C8" s="7" t="s">
        <v>10</v>
      </c>
      <c r="D8" s="8" t="s">
        <v>11</v>
      </c>
      <c r="E8" s="7" t="s">
        <v>59</v>
      </c>
      <c r="F8" s="11" t="n">
        <f aca="false">INDEX('Cost by Tier'!$E$5:$E$16,MATCH($E8&amp;"|"&amp;$D8,CostKey,0))</f>
        <v>439.03</v>
      </c>
      <c r="G8" s="11" t="n">
        <f aca="false">INDEX('Cost by Tier'!$H$5:$H$16,MATCH($E8&amp;"|"&amp;$D8,CostKey,0))</f>
        <v>300</v>
      </c>
      <c r="H8" s="11" t="n">
        <f aca="false">INDEX('Cost by Tier'!$I$5:$I$16,MATCH($E8&amp;"|"&amp;$D8,CostKey,0))</f>
        <v>139.03</v>
      </c>
      <c r="I8" s="37" t="n">
        <f aca="false">INDEX('Cost by Tier'!$L$5:$L$16,MATCH($E8&amp;"|"&amp;$D8,CostKey,0))</f>
        <v>1668.36</v>
      </c>
      <c r="J8" s="37" t="n">
        <f aca="false">INDEX('Cost by Tier'!$M$5:$M$16,MATCH($E8&amp;"|"&amp;$D8,CostKey,0))</f>
        <v>3400</v>
      </c>
      <c r="K8" s="37" t="n">
        <f aca="false">INDEX('Cost by Tier'!$N$5:$N$16,MATCH($E8&amp;"|"&amp;$D8,CostKey,0))</f>
        <v>5000</v>
      </c>
      <c r="L8" s="48" t="n">
        <f aca="false">INDEX('Cost by Tier'!$O$5:$O$16,MATCH($E8&amp;"|"&amp;$D8,CostKey,0))</f>
        <v>6668.36</v>
      </c>
    </row>
    <row r="9" customFormat="false" ht="15" hidden="false" customHeight="false" outlineLevel="0" collapsed="false">
      <c r="A9" s="7" t="s">
        <v>33</v>
      </c>
      <c r="B9" s="47" t="str">
        <f aca="false">Contributions!$E$23</f>
        <v>Yes</v>
      </c>
      <c r="C9" s="7" t="s">
        <v>10</v>
      </c>
      <c r="D9" s="8" t="s">
        <v>11</v>
      </c>
      <c r="E9" s="7" t="s">
        <v>64</v>
      </c>
      <c r="F9" s="11" t="n">
        <f aca="false">INDEX('Cost by Tier'!$E$5:$E$16,MATCH($E9&amp;"|"&amp;$D9,CostKey,0))</f>
        <v>492.11</v>
      </c>
      <c r="G9" s="11" t="n">
        <f aca="false">INDEX('Cost by Tier'!$H$5:$H$16,MATCH($E9&amp;"|"&amp;$D9,CostKey,0))</f>
        <v>300</v>
      </c>
      <c r="H9" s="11" t="n">
        <f aca="false">INDEX('Cost by Tier'!$I$5:$I$16,MATCH($E9&amp;"|"&amp;$D9,CostKey,0))</f>
        <v>192.11</v>
      </c>
      <c r="I9" s="37" t="n">
        <f aca="false">INDEX('Cost by Tier'!$L$5:$L$16,MATCH($E9&amp;"|"&amp;$D9,CostKey,0))</f>
        <v>2305.32</v>
      </c>
      <c r="J9" s="37" t="n">
        <f aca="false">INDEX('Cost by Tier'!$M$5:$M$16,MATCH($E9&amp;"|"&amp;$D9,CostKey,0))</f>
        <v>2000</v>
      </c>
      <c r="K9" s="37" t="n">
        <f aca="false">INDEX('Cost by Tier'!$N$5:$N$16,MATCH($E9&amp;"|"&amp;$D9,CostKey,0))</f>
        <v>4000</v>
      </c>
      <c r="L9" s="48" t="n">
        <f aca="false">INDEX('Cost by Tier'!$O$5:$O$16,MATCH($E9&amp;"|"&amp;$D9,CostKey,0))</f>
        <v>6305.32</v>
      </c>
    </row>
    <row r="10" customFormat="false" ht="15" hidden="false" customHeight="false" outlineLevel="0" collapsed="false">
      <c r="A10" s="7" t="s">
        <v>33</v>
      </c>
      <c r="B10" s="47" t="str">
        <f aca="false">Contributions!$E$23</f>
        <v>Yes</v>
      </c>
      <c r="C10" s="7" t="s">
        <v>10</v>
      </c>
      <c r="D10" s="8" t="s">
        <v>11</v>
      </c>
      <c r="E10" s="7" t="s">
        <v>71</v>
      </c>
      <c r="F10" s="11" t="n">
        <f aca="false">INDEX('Cost by Tier'!$E$5:$E$16,MATCH($E10&amp;"|"&amp;$D10,CostKey,0))</f>
        <v>546.33</v>
      </c>
      <c r="G10" s="11" t="n">
        <f aca="false">INDEX('Cost by Tier'!$H$5:$H$16,MATCH($E10&amp;"|"&amp;$D10,CostKey,0))</f>
        <v>300</v>
      </c>
      <c r="H10" s="11" t="n">
        <f aca="false">INDEX('Cost by Tier'!$I$5:$I$16,MATCH($E10&amp;"|"&amp;$D10,CostKey,0))</f>
        <v>246.33</v>
      </c>
      <c r="I10" s="37" t="n">
        <f aca="false">INDEX('Cost by Tier'!$L$5:$L$16,MATCH($E10&amp;"|"&amp;$D10,CostKey,0))</f>
        <v>2955.96</v>
      </c>
      <c r="J10" s="37" t="n">
        <f aca="false">INDEX('Cost by Tier'!$M$5:$M$16,MATCH($E10&amp;"|"&amp;$D10,CostKey,0))</f>
        <v>1000</v>
      </c>
      <c r="K10" s="37" t="n">
        <f aca="false">INDEX('Cost by Tier'!$N$5:$N$16,MATCH($E10&amp;"|"&amp;$D10,CostKey,0))</f>
        <v>2000</v>
      </c>
      <c r="L10" s="48" t="n">
        <f aca="false">INDEX('Cost by Tier'!$O$5:$O$16,MATCH($E10&amp;"|"&amp;$D10,CostKey,0))</f>
        <v>4955.96</v>
      </c>
    </row>
    <row r="11" customFormat="false" ht="15" hidden="false" customHeight="false" outlineLevel="0" collapsed="false">
      <c r="A11" s="7" t="s">
        <v>34</v>
      </c>
      <c r="B11" s="47" t="str">
        <f aca="false">Contributions!$E$24</f>
        <v>Yes</v>
      </c>
      <c r="C11" s="7" t="s">
        <v>16</v>
      </c>
      <c r="D11" s="8" t="s">
        <v>17</v>
      </c>
      <c r="E11" s="7" t="s">
        <v>59</v>
      </c>
      <c r="F11" s="11" t="n">
        <f aca="false">INDEX('Cost by Tier'!$E$5:$E$16,MATCH($E11&amp;"|"&amp;$D11,CostKey,0))</f>
        <v>1361</v>
      </c>
      <c r="G11" s="11" t="n">
        <f aca="false">INDEX('Cost by Tier'!$H$5:$H$16,MATCH($E11&amp;"|"&amp;$D11,CostKey,0))</f>
        <v>1000</v>
      </c>
      <c r="H11" s="11" t="n">
        <f aca="false">INDEX('Cost by Tier'!$I$5:$I$16,MATCH($E11&amp;"|"&amp;$D11,CostKey,0))</f>
        <v>361</v>
      </c>
      <c r="I11" s="37" t="n">
        <f aca="false">INDEX('Cost by Tier'!$L$5:$L$16,MATCH($E11&amp;"|"&amp;$D11,CostKey,0))</f>
        <v>4332</v>
      </c>
      <c r="J11" s="37" t="n">
        <f aca="false">INDEX('Cost by Tier'!$M$5:$M$16,MATCH($E11&amp;"|"&amp;$D11,CostKey,0))</f>
        <v>6800</v>
      </c>
      <c r="K11" s="37" t="n">
        <f aca="false">INDEX('Cost by Tier'!$N$5:$N$16,MATCH($E11&amp;"|"&amp;$D11,CostKey,0))</f>
        <v>10000</v>
      </c>
      <c r="L11" s="48" t="n">
        <f aca="false">INDEX('Cost by Tier'!$O$5:$O$16,MATCH($E11&amp;"|"&amp;$D11,CostKey,0))</f>
        <v>14332</v>
      </c>
    </row>
    <row r="12" customFormat="false" ht="15" hidden="false" customHeight="false" outlineLevel="0" collapsed="false">
      <c r="A12" s="7" t="s">
        <v>34</v>
      </c>
      <c r="B12" s="47" t="str">
        <f aca="false">Contributions!$E$24</f>
        <v>Yes</v>
      </c>
      <c r="C12" s="7" t="s">
        <v>16</v>
      </c>
      <c r="D12" s="8" t="s">
        <v>17</v>
      </c>
      <c r="E12" s="7" t="s">
        <v>64</v>
      </c>
      <c r="F12" s="11" t="n">
        <f aca="false">INDEX('Cost by Tier'!$E$5:$E$16,MATCH($E12&amp;"|"&amp;$D12,CostKey,0))</f>
        <v>1525.54</v>
      </c>
      <c r="G12" s="11" t="n">
        <f aca="false">INDEX('Cost by Tier'!$H$5:$H$16,MATCH($E12&amp;"|"&amp;$D12,CostKey,0))</f>
        <v>1000</v>
      </c>
      <c r="H12" s="11" t="n">
        <f aca="false">INDEX('Cost by Tier'!$I$5:$I$16,MATCH($E12&amp;"|"&amp;$D12,CostKey,0))</f>
        <v>525.54</v>
      </c>
      <c r="I12" s="37" t="n">
        <f aca="false">INDEX('Cost by Tier'!$L$5:$L$16,MATCH($E12&amp;"|"&amp;$D12,CostKey,0))</f>
        <v>6306.48</v>
      </c>
      <c r="J12" s="37" t="n">
        <f aca="false">INDEX('Cost by Tier'!$M$5:$M$16,MATCH($E12&amp;"|"&amp;$D12,CostKey,0))</f>
        <v>4000</v>
      </c>
      <c r="K12" s="37" t="n">
        <f aca="false">INDEX('Cost by Tier'!$N$5:$N$16,MATCH($E12&amp;"|"&amp;$D12,CostKey,0))</f>
        <v>8000</v>
      </c>
      <c r="L12" s="48" t="n">
        <f aca="false">INDEX('Cost by Tier'!$O$5:$O$16,MATCH($E12&amp;"|"&amp;$D12,CostKey,0))</f>
        <v>14306.48</v>
      </c>
    </row>
    <row r="13" customFormat="false" ht="15" hidden="false" customHeight="false" outlineLevel="0" collapsed="false">
      <c r="A13" s="7" t="s">
        <v>34</v>
      </c>
      <c r="B13" s="47" t="str">
        <f aca="false">Contributions!$E$24</f>
        <v>Yes</v>
      </c>
      <c r="C13" s="7" t="s">
        <v>16</v>
      </c>
      <c r="D13" s="8" t="s">
        <v>17</v>
      </c>
      <c r="E13" s="7" t="s">
        <v>71</v>
      </c>
      <c r="F13" s="11" t="n">
        <f aca="false">INDEX('Cost by Tier'!$E$5:$E$16,MATCH($E13&amp;"|"&amp;$D13,CostKey,0))</f>
        <v>1693.61</v>
      </c>
      <c r="G13" s="11" t="n">
        <f aca="false">INDEX('Cost by Tier'!$H$5:$H$16,MATCH($E13&amp;"|"&amp;$D13,CostKey,0))</f>
        <v>1000</v>
      </c>
      <c r="H13" s="11" t="n">
        <f aca="false">INDEX('Cost by Tier'!$I$5:$I$16,MATCH($E13&amp;"|"&amp;$D13,CostKey,0))</f>
        <v>693.61</v>
      </c>
      <c r="I13" s="37" t="n">
        <f aca="false">INDEX('Cost by Tier'!$L$5:$L$16,MATCH($E13&amp;"|"&amp;$D13,CostKey,0))</f>
        <v>8323.32</v>
      </c>
      <c r="J13" s="37" t="n">
        <f aca="false">INDEX('Cost by Tier'!$M$5:$M$16,MATCH($E13&amp;"|"&amp;$D13,CostKey,0))</f>
        <v>2000</v>
      </c>
      <c r="K13" s="37" t="n">
        <f aca="false">INDEX('Cost by Tier'!$N$5:$N$16,MATCH($E13&amp;"|"&amp;$D13,CostKey,0))</f>
        <v>4000</v>
      </c>
      <c r="L13" s="48" t="n">
        <f aca="false">INDEX('Cost by Tier'!$O$5:$O$16,MATCH($E13&amp;"|"&amp;$D13,CostKey,0))</f>
        <v>12323.32</v>
      </c>
    </row>
    <row r="14" customFormat="false" ht="15" hidden="false" customHeight="false" outlineLevel="0" collapsed="false">
      <c r="A14" s="7" t="s">
        <v>36</v>
      </c>
      <c r="B14" s="47" t="str">
        <f aca="false">Contributions!$E$25</f>
        <v>Yes</v>
      </c>
      <c r="C14" s="7" t="s">
        <v>12</v>
      </c>
      <c r="D14" s="8" t="s">
        <v>13</v>
      </c>
      <c r="E14" s="7" t="s">
        <v>59</v>
      </c>
      <c r="F14" s="11" t="n">
        <f aca="false">INDEX('Cost by Tier'!$E$5:$E$16,MATCH($E14&amp;"|"&amp;$D14,CostKey,0))</f>
        <v>921.97</v>
      </c>
      <c r="G14" s="11" t="n">
        <f aca="false">INDEX('Cost by Tier'!$H$5:$H$16,MATCH($E14&amp;"|"&amp;$D14,CostKey,0))</f>
        <v>600</v>
      </c>
      <c r="H14" s="11" t="n">
        <f aca="false">INDEX('Cost by Tier'!$I$5:$I$16,MATCH($E14&amp;"|"&amp;$D14,CostKey,0))</f>
        <v>321.97</v>
      </c>
      <c r="I14" s="37" t="n">
        <f aca="false">INDEX('Cost by Tier'!$L$5:$L$16,MATCH($E14&amp;"|"&amp;$D14,CostKey,0))</f>
        <v>3863.64</v>
      </c>
      <c r="J14" s="37" t="n">
        <f aca="false">INDEX('Cost by Tier'!$M$5:$M$16,MATCH($E14&amp;"|"&amp;$D14,CostKey,0))</f>
        <v>6800</v>
      </c>
      <c r="K14" s="37" t="n">
        <f aca="false">INDEX('Cost by Tier'!$N$5:$N$16,MATCH($E14&amp;"|"&amp;$D14,CostKey,0))</f>
        <v>10000</v>
      </c>
      <c r="L14" s="48" t="n">
        <f aca="false">INDEX('Cost by Tier'!$O$5:$O$16,MATCH($E14&amp;"|"&amp;$D14,CostKey,0))</f>
        <v>13863.64</v>
      </c>
    </row>
    <row r="15" customFormat="false" ht="15" hidden="false" customHeight="false" outlineLevel="0" collapsed="false">
      <c r="A15" s="7" t="s">
        <v>36</v>
      </c>
      <c r="B15" s="47" t="str">
        <f aca="false">Contributions!$E$25</f>
        <v>Yes</v>
      </c>
      <c r="C15" s="7" t="s">
        <v>12</v>
      </c>
      <c r="D15" s="8" t="s">
        <v>13</v>
      </c>
      <c r="E15" s="7" t="s">
        <v>64</v>
      </c>
      <c r="F15" s="11" t="n">
        <f aca="false">INDEX('Cost by Tier'!$E$5:$E$16,MATCH($E15&amp;"|"&amp;$D15,CostKey,0))</f>
        <v>1033.43</v>
      </c>
      <c r="G15" s="11" t="n">
        <f aca="false">INDEX('Cost by Tier'!$H$5:$H$16,MATCH($E15&amp;"|"&amp;$D15,CostKey,0))</f>
        <v>600</v>
      </c>
      <c r="H15" s="11" t="n">
        <f aca="false">INDEX('Cost by Tier'!$I$5:$I$16,MATCH($E15&amp;"|"&amp;$D15,CostKey,0))</f>
        <v>433.43</v>
      </c>
      <c r="I15" s="37" t="n">
        <f aca="false">INDEX('Cost by Tier'!$L$5:$L$16,MATCH($E15&amp;"|"&amp;$D15,CostKey,0))</f>
        <v>5201.16</v>
      </c>
      <c r="J15" s="37" t="n">
        <f aca="false">INDEX('Cost by Tier'!$M$5:$M$16,MATCH($E15&amp;"|"&amp;$D15,CostKey,0))</f>
        <v>4000</v>
      </c>
      <c r="K15" s="37" t="n">
        <f aca="false">INDEX('Cost by Tier'!$N$5:$N$16,MATCH($E15&amp;"|"&amp;$D15,CostKey,0))</f>
        <v>8000</v>
      </c>
      <c r="L15" s="48" t="n">
        <f aca="false">INDEX('Cost by Tier'!$O$5:$O$16,MATCH($E15&amp;"|"&amp;$D15,CostKey,0))</f>
        <v>13201.16</v>
      </c>
    </row>
    <row r="16" customFormat="false" ht="15" hidden="false" customHeight="false" outlineLevel="0" collapsed="false">
      <c r="A16" s="7" t="s">
        <v>36</v>
      </c>
      <c r="B16" s="47" t="str">
        <f aca="false">Contributions!$E$25</f>
        <v>Yes</v>
      </c>
      <c r="C16" s="7" t="s">
        <v>12</v>
      </c>
      <c r="D16" s="8" t="s">
        <v>13</v>
      </c>
      <c r="E16" s="7" t="s">
        <v>71</v>
      </c>
      <c r="F16" s="11" t="n">
        <f aca="false">INDEX('Cost by Tier'!$E$5:$E$16,MATCH($E16&amp;"|"&amp;$D16,CostKey,0))</f>
        <v>1147.29</v>
      </c>
      <c r="G16" s="11" t="n">
        <f aca="false">INDEX('Cost by Tier'!$H$5:$H$16,MATCH($E16&amp;"|"&amp;$D16,CostKey,0))</f>
        <v>600</v>
      </c>
      <c r="H16" s="11" t="n">
        <f aca="false">INDEX('Cost by Tier'!$I$5:$I$16,MATCH($E16&amp;"|"&amp;$D16,CostKey,0))</f>
        <v>547.29</v>
      </c>
      <c r="I16" s="37" t="n">
        <f aca="false">INDEX('Cost by Tier'!$L$5:$L$16,MATCH($E16&amp;"|"&amp;$D16,CostKey,0))</f>
        <v>6567.48</v>
      </c>
      <c r="J16" s="37" t="n">
        <f aca="false">INDEX('Cost by Tier'!$M$5:$M$16,MATCH($E16&amp;"|"&amp;$D16,CostKey,0))</f>
        <v>2000</v>
      </c>
      <c r="K16" s="37" t="n">
        <f aca="false">INDEX('Cost by Tier'!$N$5:$N$16,MATCH($E16&amp;"|"&amp;$D16,CostKey,0))</f>
        <v>4000</v>
      </c>
      <c r="L16" s="48" t="n">
        <f aca="false">INDEX('Cost by Tier'!$O$5:$O$16,MATCH($E16&amp;"|"&amp;$D16,CostKey,0))</f>
        <v>10567.48</v>
      </c>
    </row>
    <row r="17" customFormat="false" ht="15" hidden="false" customHeight="false" outlineLevel="0" collapsed="false">
      <c r="A17" s="39" t="s">
        <v>38</v>
      </c>
      <c r="B17" s="49" t="str">
        <f aca="false">Contributions!$E$26</f>
        <v>No</v>
      </c>
      <c r="C17" s="39" t="s">
        <v>16</v>
      </c>
      <c r="D17" s="40" t="s">
        <v>17</v>
      </c>
      <c r="E17" s="39" t="s">
        <v>59</v>
      </c>
      <c r="F17" s="41" t="n">
        <f aca="false">INDEX('Cost by Tier'!$E$5:$E$16,MATCH($E17&amp;"|"&amp;$D17,CostKey,0))</f>
        <v>1361</v>
      </c>
      <c r="G17" s="41" t="n">
        <f aca="false">INDEX('Cost by Tier'!$H$5:$H$16,MATCH($E17&amp;"|"&amp;$D17,CostKey,0))</f>
        <v>1000</v>
      </c>
      <c r="H17" s="41" t="n">
        <f aca="false">INDEX('Cost by Tier'!$I$5:$I$16,MATCH($E17&amp;"|"&amp;$D17,CostKey,0))</f>
        <v>361</v>
      </c>
      <c r="I17" s="45" t="n">
        <f aca="false">INDEX('Cost by Tier'!$L$5:$L$16,MATCH($E17&amp;"|"&amp;$D17,CostKey,0))</f>
        <v>4332</v>
      </c>
      <c r="J17" s="45" t="n">
        <f aca="false">INDEX('Cost by Tier'!$M$5:$M$16,MATCH($E17&amp;"|"&amp;$D17,CostKey,0))</f>
        <v>6800</v>
      </c>
      <c r="K17" s="45" t="n">
        <f aca="false">INDEX('Cost by Tier'!$N$5:$N$16,MATCH($E17&amp;"|"&amp;$D17,CostKey,0))</f>
        <v>10000</v>
      </c>
      <c r="L17" s="50" t="n">
        <f aca="false">INDEX('Cost by Tier'!$O$5:$O$16,MATCH($E17&amp;"|"&amp;$D17,CostKey,0))</f>
        <v>14332</v>
      </c>
    </row>
    <row r="18" customFormat="false" ht="15" hidden="false" customHeight="false" outlineLevel="0" collapsed="false">
      <c r="A18" s="39" t="s">
        <v>38</v>
      </c>
      <c r="B18" s="49" t="str">
        <f aca="false">Contributions!$E$26</f>
        <v>No</v>
      </c>
      <c r="C18" s="39" t="s">
        <v>16</v>
      </c>
      <c r="D18" s="40" t="s">
        <v>17</v>
      </c>
      <c r="E18" s="39" t="s">
        <v>64</v>
      </c>
      <c r="F18" s="41" t="n">
        <f aca="false">INDEX('Cost by Tier'!$E$5:$E$16,MATCH($E18&amp;"|"&amp;$D18,CostKey,0))</f>
        <v>1525.54</v>
      </c>
      <c r="G18" s="41" t="n">
        <f aca="false">INDEX('Cost by Tier'!$H$5:$H$16,MATCH($E18&amp;"|"&amp;$D18,CostKey,0))</f>
        <v>1000</v>
      </c>
      <c r="H18" s="41" t="n">
        <f aca="false">INDEX('Cost by Tier'!$I$5:$I$16,MATCH($E18&amp;"|"&amp;$D18,CostKey,0))</f>
        <v>525.54</v>
      </c>
      <c r="I18" s="45" t="n">
        <f aca="false">INDEX('Cost by Tier'!$L$5:$L$16,MATCH($E18&amp;"|"&amp;$D18,CostKey,0))</f>
        <v>6306.48</v>
      </c>
      <c r="J18" s="45" t="n">
        <f aca="false">INDEX('Cost by Tier'!$M$5:$M$16,MATCH($E18&amp;"|"&amp;$D18,CostKey,0))</f>
        <v>4000</v>
      </c>
      <c r="K18" s="45" t="n">
        <f aca="false">INDEX('Cost by Tier'!$N$5:$N$16,MATCH($E18&amp;"|"&amp;$D18,CostKey,0))</f>
        <v>8000</v>
      </c>
      <c r="L18" s="50" t="n">
        <f aca="false">INDEX('Cost by Tier'!$O$5:$O$16,MATCH($E18&amp;"|"&amp;$D18,CostKey,0))</f>
        <v>14306.48</v>
      </c>
    </row>
    <row r="19" customFormat="false" ht="15" hidden="false" customHeight="false" outlineLevel="0" collapsed="false">
      <c r="A19" s="39" t="s">
        <v>38</v>
      </c>
      <c r="B19" s="49" t="str">
        <f aca="false">Contributions!$E$26</f>
        <v>No</v>
      </c>
      <c r="C19" s="39" t="s">
        <v>16</v>
      </c>
      <c r="D19" s="40" t="s">
        <v>17</v>
      </c>
      <c r="E19" s="39" t="s">
        <v>71</v>
      </c>
      <c r="F19" s="41" t="n">
        <f aca="false">INDEX('Cost by Tier'!$E$5:$E$16,MATCH($E19&amp;"|"&amp;$D19,CostKey,0))</f>
        <v>1693.61</v>
      </c>
      <c r="G19" s="41" t="n">
        <f aca="false">INDEX('Cost by Tier'!$H$5:$H$16,MATCH($E19&amp;"|"&amp;$D19,CostKey,0))</f>
        <v>1000</v>
      </c>
      <c r="H19" s="41" t="n">
        <f aca="false">INDEX('Cost by Tier'!$I$5:$I$16,MATCH($E19&amp;"|"&amp;$D19,CostKey,0))</f>
        <v>693.61</v>
      </c>
      <c r="I19" s="45" t="n">
        <f aca="false">INDEX('Cost by Tier'!$L$5:$L$16,MATCH($E19&amp;"|"&amp;$D19,CostKey,0))</f>
        <v>8323.32</v>
      </c>
      <c r="J19" s="45" t="n">
        <f aca="false">INDEX('Cost by Tier'!$M$5:$M$16,MATCH($E19&amp;"|"&amp;$D19,CostKey,0))</f>
        <v>2000</v>
      </c>
      <c r="K19" s="45" t="n">
        <f aca="false">INDEX('Cost by Tier'!$N$5:$N$16,MATCH($E19&amp;"|"&amp;$D19,CostKey,0))</f>
        <v>4000</v>
      </c>
      <c r="L19" s="50" t="n">
        <f aca="false">INDEX('Cost by Tier'!$O$5:$O$16,MATCH($E19&amp;"|"&amp;$D19,CostKey,0))</f>
        <v>12323.32</v>
      </c>
    </row>
  </sheetData>
  <autoFilter ref="A4:L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56"/>
  </cols>
  <sheetData>
    <row r="1" customFormat="false" ht="18.5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100</v>
      </c>
    </row>
    <row r="4" customFormat="false" ht="15" hidden="false" customHeight="false" outlineLevel="0" collapsed="false">
      <c r="A4" s="4" t="s">
        <v>101</v>
      </c>
      <c r="B4" s="5"/>
      <c r="C4" s="5"/>
      <c r="D4" s="5"/>
      <c r="E4" s="5"/>
      <c r="F4" s="5"/>
      <c r="G4" s="5"/>
      <c r="H4" s="5"/>
    </row>
    <row r="5" customFormat="false" ht="30" hidden="false" customHeight="true" outlineLevel="0" collapsed="false">
      <c r="A5" s="6" t="s">
        <v>102</v>
      </c>
      <c r="B5" s="6" t="s">
        <v>103</v>
      </c>
      <c r="C5" s="6" t="s">
        <v>104</v>
      </c>
      <c r="D5" s="6" t="s">
        <v>105</v>
      </c>
      <c r="E5" s="6" t="s">
        <v>106</v>
      </c>
      <c r="F5" s="6" t="s">
        <v>107</v>
      </c>
      <c r="G5" s="6" t="s">
        <v>108</v>
      </c>
      <c r="H5" s="6" t="s">
        <v>29</v>
      </c>
    </row>
    <row r="6" customFormat="false" ht="39.75" hidden="false" customHeight="true" outlineLevel="0" collapsed="false">
      <c r="A6" s="7" t="s">
        <v>109</v>
      </c>
      <c r="B6" s="51" t="s">
        <v>110</v>
      </c>
      <c r="C6" s="9" t="n">
        <v>117</v>
      </c>
      <c r="D6" s="18" t="n">
        <v>5</v>
      </c>
      <c r="E6" s="52" t="s">
        <v>111</v>
      </c>
      <c r="F6" s="20" t="n">
        <f aca="false">G6/12</f>
        <v>585</v>
      </c>
      <c r="G6" s="10" t="n">
        <f aca="false">C6*D6*12</f>
        <v>7020</v>
      </c>
      <c r="H6" s="19" t="s">
        <v>112</v>
      </c>
    </row>
    <row r="7" customFormat="false" ht="39.75" hidden="false" customHeight="true" outlineLevel="0" collapsed="false">
      <c r="A7" s="7" t="s">
        <v>113</v>
      </c>
      <c r="B7" s="51" t="s">
        <v>114</v>
      </c>
      <c r="C7" s="9" t="n">
        <v>1402.13</v>
      </c>
      <c r="D7" s="12"/>
      <c r="E7" s="52" t="s">
        <v>111</v>
      </c>
      <c r="F7" s="20" t="n">
        <f aca="false">G7/12</f>
        <v>116.844166666667</v>
      </c>
      <c r="G7" s="10" t="n">
        <f aca="false">IF($E7="No",0,$C7)</f>
        <v>1402.13</v>
      </c>
      <c r="H7" s="19" t="s">
        <v>115</v>
      </c>
    </row>
    <row r="8" customFormat="false" ht="39.75" hidden="false" customHeight="true" outlineLevel="0" collapsed="false">
      <c r="A8" s="7" t="s">
        <v>116</v>
      </c>
      <c r="B8" s="51" t="s">
        <v>114</v>
      </c>
      <c r="C8" s="9" t="n">
        <v>420</v>
      </c>
      <c r="D8" s="12"/>
      <c r="E8" s="18" t="s">
        <v>39</v>
      </c>
      <c r="F8" s="20" t="n">
        <f aca="false">G8/12</f>
        <v>0</v>
      </c>
      <c r="G8" s="10" t="n">
        <f aca="false">IF($E8="No",0,$C8)</f>
        <v>0</v>
      </c>
      <c r="H8" s="19" t="s">
        <v>117</v>
      </c>
    </row>
    <row r="9" customFormat="false" ht="15" hidden="false" customHeight="false" outlineLevel="0" collapsed="false">
      <c r="A9" s="21" t="s">
        <v>118</v>
      </c>
      <c r="B9" s="22"/>
      <c r="C9" s="22"/>
      <c r="D9" s="22"/>
      <c r="E9" s="22"/>
      <c r="F9" s="24" t="n">
        <f aca="false">SUM(F6:F8)</f>
        <v>701.844166666667</v>
      </c>
      <c r="G9" s="25" t="n">
        <f aca="false">SUM(G6:G8)</f>
        <v>8422.13</v>
      </c>
      <c r="H9" s="22"/>
    </row>
    <row r="10" customFormat="false" ht="15" hidden="false" customHeight="false" outlineLevel="0" collapsed="false">
      <c r="A10" s="7" t="s">
        <v>119</v>
      </c>
      <c r="B10" s="51" t="s">
        <v>120</v>
      </c>
      <c r="C10" s="12"/>
      <c r="D10" s="12"/>
      <c r="E10" s="12"/>
      <c r="F10" s="12"/>
      <c r="G10" s="53" t="n">
        <v>1000</v>
      </c>
      <c r="H10" s="12"/>
    </row>
    <row r="11" customFormat="false" ht="15" hidden="false" customHeight="false" outlineLevel="0" collapsed="false">
      <c r="A11" s="2" t="s">
        <v>121</v>
      </c>
    </row>
    <row r="13" customFormat="false" ht="15" hidden="false" customHeight="false" outlineLevel="0" collapsed="false">
      <c r="A13" s="4" t="s">
        <v>122</v>
      </c>
      <c r="B13" s="5"/>
      <c r="C13" s="5"/>
      <c r="D13" s="5"/>
      <c r="E13" s="5"/>
      <c r="F13" s="5"/>
      <c r="G13" s="5"/>
      <c r="H13" s="5"/>
    </row>
    <row r="14" customFormat="false" ht="30" hidden="false" customHeight="true" outlineLevel="0" collapsed="false">
      <c r="A14" s="6" t="s">
        <v>123</v>
      </c>
      <c r="B14" s="6" t="s">
        <v>106</v>
      </c>
      <c r="C14" s="6" t="s">
        <v>124</v>
      </c>
      <c r="D14" s="6" t="s">
        <v>107</v>
      </c>
      <c r="E14" s="6" t="s">
        <v>108</v>
      </c>
      <c r="F14" s="6" t="s">
        <v>29</v>
      </c>
    </row>
    <row r="15" customFormat="false" ht="42" hidden="false" customHeight="true" outlineLevel="0" collapsed="false">
      <c r="A15" s="7" t="s">
        <v>125</v>
      </c>
      <c r="B15" s="18" t="s">
        <v>31</v>
      </c>
      <c r="C15" s="51" t="s">
        <v>126</v>
      </c>
      <c r="D15" s="9" t="n">
        <v>46.25</v>
      </c>
      <c r="E15" s="10" t="n">
        <f aca="false">IF($B15="Yes",$D15*12,0)</f>
        <v>555</v>
      </c>
      <c r="F15" s="19" t="s">
        <v>127</v>
      </c>
    </row>
    <row r="16" customFormat="false" ht="42" hidden="false" customHeight="true" outlineLevel="0" collapsed="false">
      <c r="A16" s="7" t="s">
        <v>128</v>
      </c>
      <c r="B16" s="18" t="s">
        <v>31</v>
      </c>
      <c r="C16" s="51" t="s">
        <v>129</v>
      </c>
      <c r="D16" s="9" t="n">
        <v>159.09</v>
      </c>
      <c r="E16" s="10" t="n">
        <f aca="false">IF($B16="Yes",$D16*12,0)</f>
        <v>1909.08</v>
      </c>
      <c r="F16" s="19" t="s">
        <v>130</v>
      </c>
    </row>
    <row r="17" customFormat="false" ht="42" hidden="false" customHeight="true" outlineLevel="0" collapsed="false">
      <c r="A17" s="7" t="s">
        <v>131</v>
      </c>
      <c r="B17" s="18" t="s">
        <v>39</v>
      </c>
      <c r="C17" s="51" t="s">
        <v>132</v>
      </c>
      <c r="D17" s="9" t="n">
        <v>126.74</v>
      </c>
      <c r="E17" s="10" t="n">
        <f aca="false">IF($B17="Yes",$D17*12,0)</f>
        <v>0</v>
      </c>
      <c r="F17" s="19" t="s">
        <v>133</v>
      </c>
    </row>
    <row r="18" customFormat="false" ht="15" hidden="false" customHeight="false" outlineLevel="0" collapsed="false">
      <c r="A18" s="21" t="s">
        <v>134</v>
      </c>
      <c r="B18" s="22"/>
      <c r="C18" s="22"/>
      <c r="D18" s="24" t="n">
        <f aca="false">SUM(E15:E17)/12</f>
        <v>205.34</v>
      </c>
      <c r="E18" s="25" t="n">
        <f aca="false">SUM(E15:E17)</f>
        <v>2464.08</v>
      </c>
      <c r="F18" s="22"/>
    </row>
    <row r="19" customFormat="false" ht="15" hidden="false" customHeight="false" outlineLevel="0" collapsed="false">
      <c r="A19" s="2" t="s">
        <v>135</v>
      </c>
    </row>
    <row r="21" customFormat="false" ht="15" hidden="false" customHeight="false" outlineLevel="0" collapsed="false">
      <c r="A21" s="4" t="s">
        <v>136</v>
      </c>
      <c r="B21" s="5"/>
      <c r="C21" s="5"/>
      <c r="D21" s="5"/>
      <c r="E21" s="5"/>
      <c r="F21" s="5"/>
      <c r="G21" s="5"/>
      <c r="H21" s="5"/>
    </row>
    <row r="22" customFormat="false" ht="30" hidden="false" customHeight="true" outlineLevel="0" collapsed="false">
      <c r="A22" s="6" t="s">
        <v>137</v>
      </c>
      <c r="B22" s="6" t="s">
        <v>138</v>
      </c>
      <c r="C22" s="6" t="s">
        <v>29</v>
      </c>
    </row>
    <row r="23" customFormat="false" ht="39.75" hidden="false" customHeight="true" outlineLevel="0" collapsed="false">
      <c r="A23" s="7" t="s">
        <v>139</v>
      </c>
      <c r="B23" s="16" t="n">
        <v>50665.81</v>
      </c>
      <c r="C23" s="19" t="s">
        <v>140</v>
      </c>
    </row>
    <row r="24" customFormat="false" ht="39.75" hidden="false" customHeight="true" outlineLevel="0" collapsed="false">
      <c r="A24" s="7" t="s">
        <v>141</v>
      </c>
      <c r="B24" s="16" t="n">
        <v>210</v>
      </c>
      <c r="C24" s="19" t="s">
        <v>142</v>
      </c>
    </row>
    <row r="25" customFormat="false" ht="39.75" hidden="false" customHeight="true" outlineLevel="0" collapsed="false">
      <c r="A25" s="7" t="s">
        <v>143</v>
      </c>
      <c r="B25" s="16" t="n">
        <v>1300</v>
      </c>
      <c r="C25" s="19" t="s">
        <v>144</v>
      </c>
    </row>
    <row r="26" customFormat="false" ht="15" hidden="false" customHeight="false" outlineLevel="0" collapsed="false">
      <c r="A26" s="21" t="s">
        <v>145</v>
      </c>
      <c r="B26" s="25" t="n">
        <f aca="false">SUM(B23:B25)</f>
        <v>52175.81</v>
      </c>
      <c r="C26" s="22"/>
    </row>
    <row r="28" customFormat="false" ht="15" hidden="false" customHeight="false" outlineLevel="0" collapsed="false">
      <c r="A28" s="4" t="s">
        <v>146</v>
      </c>
      <c r="B28" s="5"/>
      <c r="C28" s="5"/>
      <c r="D28" s="5"/>
      <c r="E28" s="5"/>
      <c r="F28" s="5"/>
      <c r="G28" s="5"/>
      <c r="H28" s="5"/>
    </row>
    <row r="29" customFormat="false" ht="30" hidden="false" customHeight="true" outlineLevel="0" collapsed="false">
      <c r="A29" s="6" t="s">
        <v>147</v>
      </c>
      <c r="B29" s="6" t="s">
        <v>148</v>
      </c>
      <c r="C29" s="6" t="s">
        <v>149</v>
      </c>
    </row>
    <row r="30" customFormat="false" ht="45.75" hidden="false" customHeight="true" outlineLevel="0" collapsed="false">
      <c r="A30" s="14" t="s">
        <v>150</v>
      </c>
      <c r="B30" s="19" t="s">
        <v>151</v>
      </c>
      <c r="C30" s="19" t="s">
        <v>152</v>
      </c>
    </row>
    <row r="31" customFormat="false" ht="45.75" hidden="false" customHeight="true" outlineLevel="0" collapsed="false">
      <c r="A31" s="14" t="s">
        <v>153</v>
      </c>
      <c r="B31" s="19" t="s">
        <v>154</v>
      </c>
      <c r="C31" s="19" t="s">
        <v>155</v>
      </c>
    </row>
    <row r="32" customFormat="false" ht="45.75" hidden="false" customHeight="true" outlineLevel="0" collapsed="false">
      <c r="A32" s="14" t="s">
        <v>156</v>
      </c>
      <c r="B32" s="19" t="s">
        <v>157</v>
      </c>
      <c r="C32" s="19" t="s">
        <v>158</v>
      </c>
    </row>
    <row r="33" customFormat="false" ht="45.75" hidden="false" customHeight="true" outlineLevel="0" collapsed="false">
      <c r="A33" s="14" t="s">
        <v>159</v>
      </c>
      <c r="B33" s="19" t="s">
        <v>160</v>
      </c>
      <c r="C33" s="19" t="s">
        <v>161</v>
      </c>
    </row>
    <row r="34" customFormat="false" ht="45.75" hidden="false" customHeight="true" outlineLevel="0" collapsed="false">
      <c r="A34" s="14" t="s">
        <v>162</v>
      </c>
      <c r="B34" s="19" t="s">
        <v>163</v>
      </c>
      <c r="C34" s="19" t="s">
        <v>164</v>
      </c>
    </row>
    <row r="35" customFormat="false" ht="45.75" hidden="false" customHeight="true" outlineLevel="0" collapsed="false">
      <c r="A35" s="14" t="s">
        <v>165</v>
      </c>
      <c r="B35" s="19" t="s">
        <v>166</v>
      </c>
      <c r="C35" s="19" t="s">
        <v>167</v>
      </c>
    </row>
    <row r="36" customFormat="false" ht="45.75" hidden="false" customHeight="true" outlineLevel="0" collapsed="false">
      <c r="A36" s="14" t="s">
        <v>116</v>
      </c>
      <c r="B36" s="19" t="s">
        <v>168</v>
      </c>
      <c r="C36" s="19" t="s">
        <v>169</v>
      </c>
    </row>
    <row r="37" customFormat="false" ht="45.75" hidden="false" customHeight="true" outlineLevel="0" collapsed="false">
      <c r="A37" s="14" t="s">
        <v>170</v>
      </c>
      <c r="B37" s="19" t="s">
        <v>171</v>
      </c>
      <c r="C37" s="19" t="s">
        <v>172</v>
      </c>
    </row>
    <row r="38" customFormat="false" ht="45.75" hidden="false" customHeight="true" outlineLevel="0" collapsed="false">
      <c r="A38" s="14" t="s">
        <v>173</v>
      </c>
      <c r="B38" s="19" t="s">
        <v>174</v>
      </c>
      <c r="C38" s="19" t="s">
        <v>175</v>
      </c>
    </row>
  </sheetData>
  <dataValidations count="2">
    <dataValidation allowBlank="false" errorStyle="stop" operator="between" showDropDown="false" showErrorMessage="false" showInputMessage="false" sqref="E8" type="list">
      <formula1>"Yes,No"</formula1>
      <formula2>0</formula2>
    </dataValidation>
    <dataValidation allowBlank="false" errorStyle="stop" operator="between" showDropDown="false" showErrorMessage="false" showInputMessage="false" sqref="B15:B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62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8"/>
  </cols>
  <sheetData>
    <row r="1" customFormat="false" ht="18.55" hidden="false" customHeight="false" outlineLevel="0" collapsed="false">
      <c r="A1" s="1" t="s">
        <v>176</v>
      </c>
    </row>
    <row r="2" customFormat="false" ht="15" hidden="false" customHeight="false" outlineLevel="0" collapsed="false">
      <c r="A2" s="2" t="s">
        <v>177</v>
      </c>
    </row>
    <row r="3" customFormat="false" ht="15" hidden="false" customHeight="false" outlineLevel="0" collapsed="false">
      <c r="A3" s="3" t="s">
        <v>178</v>
      </c>
    </row>
    <row r="5" customFormat="false" ht="15" hidden="false" customHeight="false" outlineLevel="0" collapsed="false">
      <c r="A5" s="4" t="s">
        <v>179</v>
      </c>
      <c r="B5" s="5"/>
      <c r="C5" s="5"/>
      <c r="D5" s="5"/>
      <c r="E5" s="5"/>
    </row>
    <row r="6" customFormat="false" ht="30" hidden="false" customHeight="true" outlineLevel="0" collapsed="false">
      <c r="A6" s="6" t="s">
        <v>180</v>
      </c>
      <c r="B6" s="6"/>
      <c r="C6" s="6" t="s">
        <v>181</v>
      </c>
      <c r="D6" s="6" t="s">
        <v>182</v>
      </c>
      <c r="E6" s="6" t="s">
        <v>29</v>
      </c>
    </row>
    <row r="7" customFormat="false" ht="30" hidden="false" customHeight="true" outlineLevel="0" collapsed="false">
      <c r="A7" s="7" t="s">
        <v>183</v>
      </c>
      <c r="B7" s="12"/>
      <c r="C7" s="9" t="n">
        <v>3</v>
      </c>
      <c r="D7" s="51" t="s">
        <v>184</v>
      </c>
      <c r="E7" s="19" t="s">
        <v>185</v>
      </c>
    </row>
    <row r="8" customFormat="false" ht="30" hidden="false" customHeight="true" outlineLevel="0" collapsed="false">
      <c r="A8" s="7" t="s">
        <v>186</v>
      </c>
      <c r="B8" s="12"/>
      <c r="C8" s="54" t="s">
        <v>187</v>
      </c>
      <c r="D8" s="12"/>
      <c r="E8" s="19" t="s">
        <v>188</v>
      </c>
    </row>
    <row r="9" customFormat="false" ht="30" hidden="false" customHeight="true" outlineLevel="0" collapsed="false">
      <c r="A9" s="7" t="s">
        <v>189</v>
      </c>
      <c r="B9" s="12"/>
      <c r="C9" s="53" t="n">
        <v>350000</v>
      </c>
      <c r="D9" s="12"/>
      <c r="E9" s="19" t="s">
        <v>190</v>
      </c>
    </row>
    <row r="10" customFormat="false" ht="30" hidden="false" customHeight="true" outlineLevel="0" collapsed="false">
      <c r="A10" s="7" t="s">
        <v>191</v>
      </c>
      <c r="B10" s="12"/>
      <c r="C10" s="53" t="n">
        <v>24000</v>
      </c>
      <c r="D10" s="12"/>
      <c r="E10" s="19" t="s">
        <v>192</v>
      </c>
    </row>
    <row r="12" customFormat="false" ht="30" hidden="false" customHeight="true" outlineLevel="0" collapsed="false">
      <c r="A12" s="7" t="s">
        <v>193</v>
      </c>
      <c r="B12" s="12"/>
      <c r="C12" s="54" t="s">
        <v>194</v>
      </c>
      <c r="D12" s="12"/>
      <c r="E12" s="19" t="s">
        <v>195</v>
      </c>
    </row>
    <row r="13" customFormat="false" ht="30" hidden="false" customHeight="true" outlineLevel="0" collapsed="false">
      <c r="A13" s="7" t="s">
        <v>196</v>
      </c>
      <c r="B13" s="12"/>
      <c r="C13" s="13" t="n">
        <v>1</v>
      </c>
      <c r="D13" s="13" t="n">
        <v>0.03</v>
      </c>
      <c r="E13" s="19" t="s">
        <v>197</v>
      </c>
    </row>
    <row r="14" customFormat="false" ht="30" hidden="false" customHeight="true" outlineLevel="0" collapsed="false">
      <c r="A14" s="7" t="s">
        <v>198</v>
      </c>
      <c r="B14" s="12"/>
      <c r="C14" s="13" t="n">
        <v>0.5</v>
      </c>
      <c r="D14" s="13" t="n">
        <v>0.02</v>
      </c>
      <c r="E14" s="19" t="s">
        <v>199</v>
      </c>
    </row>
    <row r="15" customFormat="false" ht="30" hidden="false" customHeight="true" outlineLevel="0" collapsed="false">
      <c r="A15" s="7" t="s">
        <v>200</v>
      </c>
      <c r="B15" s="12"/>
      <c r="C15" s="13" t="n">
        <v>0.03</v>
      </c>
      <c r="D15" s="12"/>
      <c r="E15" s="19" t="s">
        <v>201</v>
      </c>
    </row>
    <row r="17" customFormat="false" ht="15" hidden="false" customHeight="false" outlineLevel="0" collapsed="false">
      <c r="A17" s="4" t="s">
        <v>202</v>
      </c>
      <c r="B17" s="5"/>
      <c r="C17" s="5"/>
      <c r="D17" s="5"/>
      <c r="E17" s="5"/>
      <c r="F17" s="5"/>
      <c r="G17" s="5"/>
      <c r="H17" s="5"/>
    </row>
    <row r="18" customFormat="false" ht="33.75" hidden="false" customHeight="true" outlineLevel="0" collapsed="false">
      <c r="A18" s="6" t="s">
        <v>25</v>
      </c>
      <c r="B18" s="6" t="s">
        <v>203</v>
      </c>
      <c r="C18" s="6" t="s">
        <v>204</v>
      </c>
      <c r="D18" s="6" t="s">
        <v>205</v>
      </c>
      <c r="E18" s="6" t="s">
        <v>206</v>
      </c>
      <c r="F18" s="6" t="s">
        <v>207</v>
      </c>
      <c r="G18" s="6" t="s">
        <v>208</v>
      </c>
      <c r="H18" s="6" t="s">
        <v>209</v>
      </c>
    </row>
    <row r="19" customFormat="false" ht="15" hidden="false" customHeight="false" outlineLevel="0" collapsed="false">
      <c r="A19" s="7" t="s">
        <v>30</v>
      </c>
      <c r="B19" s="16" t="n">
        <v>186000</v>
      </c>
      <c r="C19" s="18" t="s">
        <v>31</v>
      </c>
      <c r="D19" s="13" t="n">
        <v>0.06</v>
      </c>
      <c r="E19" s="10" t="n">
        <f aca="false">IF($C19&lt;&gt;"Yes",0,MIN(MIN($B19,$C$9)*$D19,$C$10))</f>
        <v>11160</v>
      </c>
      <c r="F19" s="10" t="n">
        <f aca="false">IF($C19&lt;&gt;"Yes",0,IF($C$12="None",0,IF($C$12="Non-elective",MIN($B19,$C$9)*$C$15,MIN($B19,$C$9)*($C$13*MIN($D19,$D$13)+$C$14*MIN(MAX($D19-$D$13,0),$D$14)))))</f>
        <v>7440</v>
      </c>
      <c r="G19" s="36" t="n">
        <f aca="false">IF($B19=0,0,$F19/$B19)</f>
        <v>0.04</v>
      </c>
      <c r="H19" s="10" t="n">
        <f aca="false">IF($C19&lt;&gt;"Yes",0,$C$7*4)</f>
        <v>12</v>
      </c>
    </row>
    <row r="20" customFormat="false" ht="15" hidden="false" customHeight="false" outlineLevel="0" collapsed="false">
      <c r="A20" s="7" t="s">
        <v>33</v>
      </c>
      <c r="B20" s="16" t="n">
        <v>178094</v>
      </c>
      <c r="C20" s="18" t="s">
        <v>31</v>
      </c>
      <c r="D20" s="13" t="n">
        <v>0.06</v>
      </c>
      <c r="E20" s="10" t="n">
        <f aca="false">IF($C20&lt;&gt;"Yes",0,MIN(MIN($B20,$C$9)*$D20,$C$10))</f>
        <v>10685.64</v>
      </c>
      <c r="F20" s="10" t="n">
        <f aca="false">IF($C20&lt;&gt;"Yes",0,IF($C$12="None",0,IF($C$12="Non-elective",MIN($B20,$C$9)*$C$15,MIN($B20,$C$9)*($C$13*MIN($D20,$D$13)+$C$14*MIN(MAX($D20-$D$13,0),$D$14)))))</f>
        <v>7123.76</v>
      </c>
      <c r="G20" s="36" t="n">
        <f aca="false">IF($B20=0,0,$F20/$B20)</f>
        <v>0.04</v>
      </c>
      <c r="H20" s="10" t="n">
        <f aca="false">IF($C20&lt;&gt;"Yes",0,$C$7*4)</f>
        <v>12</v>
      </c>
    </row>
    <row r="21" customFormat="false" ht="15" hidden="false" customHeight="false" outlineLevel="0" collapsed="false">
      <c r="A21" s="7" t="s">
        <v>34</v>
      </c>
      <c r="B21" s="16" t="n">
        <v>135000</v>
      </c>
      <c r="C21" s="18" t="s">
        <v>31</v>
      </c>
      <c r="D21" s="13" t="n">
        <v>0.06</v>
      </c>
      <c r="E21" s="10" t="n">
        <f aca="false">IF($C21&lt;&gt;"Yes",0,MIN(MIN($B21,$C$9)*$D21,$C$10))</f>
        <v>8100</v>
      </c>
      <c r="F21" s="10" t="n">
        <f aca="false">IF($C21&lt;&gt;"Yes",0,IF($C$12="None",0,IF($C$12="Non-elective",MIN($B21,$C$9)*$C$15,MIN($B21,$C$9)*($C$13*MIN($D21,$D$13)+$C$14*MIN(MAX($D21-$D$13,0),$D$14)))))</f>
        <v>5400</v>
      </c>
      <c r="G21" s="36" t="n">
        <f aca="false">IF($B21=0,0,$F21/$B21)</f>
        <v>0.04</v>
      </c>
      <c r="H21" s="10" t="n">
        <f aca="false">IF($C21&lt;&gt;"Yes",0,$C$7*4)</f>
        <v>12</v>
      </c>
    </row>
    <row r="22" customFormat="false" ht="15" hidden="false" customHeight="false" outlineLevel="0" collapsed="false">
      <c r="A22" s="7" t="s">
        <v>36</v>
      </c>
      <c r="B22" s="16" t="n">
        <v>79228</v>
      </c>
      <c r="C22" s="18" t="s">
        <v>31</v>
      </c>
      <c r="D22" s="13" t="n">
        <v>0.06</v>
      </c>
      <c r="E22" s="10" t="n">
        <f aca="false">IF($C22&lt;&gt;"Yes",0,MIN(MIN($B22,$C$9)*$D22,$C$10))</f>
        <v>4753.68</v>
      </c>
      <c r="F22" s="10" t="n">
        <f aca="false">IF($C22&lt;&gt;"Yes",0,IF($C$12="None",0,IF($C$12="Non-elective",MIN($B22,$C$9)*$C$15,MIN($B22,$C$9)*($C$13*MIN($D22,$D$13)+$C$14*MIN(MAX($D22-$D$13,0),$D$14)))))</f>
        <v>3169.12</v>
      </c>
      <c r="G22" s="36" t="n">
        <f aca="false">IF($B22=0,0,$F22/$B22)</f>
        <v>0.04</v>
      </c>
      <c r="H22" s="10" t="n">
        <f aca="false">IF($C22&lt;&gt;"Yes",0,$C$7*4)</f>
        <v>12</v>
      </c>
    </row>
    <row r="23" customFormat="false" ht="15" hidden="false" customHeight="false" outlineLevel="0" collapsed="false">
      <c r="A23" s="7" t="s">
        <v>38</v>
      </c>
      <c r="B23" s="16" t="n">
        <v>80000</v>
      </c>
      <c r="C23" s="18" t="s">
        <v>31</v>
      </c>
      <c r="D23" s="13" t="n">
        <v>0.06</v>
      </c>
      <c r="E23" s="10" t="n">
        <f aca="false">IF($C23&lt;&gt;"Yes",0,MIN(MIN($B23,$C$9)*$D23,$C$10))</f>
        <v>4800</v>
      </c>
      <c r="F23" s="10" t="n">
        <f aca="false">IF($C23&lt;&gt;"Yes",0,IF($C$12="None",0,IF($C$12="Non-elective",MIN($B23,$C$9)*$C$15,MIN($B23,$C$9)*($C$13*MIN($D23,$D$13)+$C$14*MIN(MAX($D23-$D$13,0),$D$14)))))</f>
        <v>3200</v>
      </c>
      <c r="G23" s="36" t="n">
        <f aca="false">IF($B23=0,0,$F23/$B23)</f>
        <v>0.04</v>
      </c>
      <c r="H23" s="10" t="n">
        <f aca="false">IF($C23&lt;&gt;"Yes",0,$C$7*4)</f>
        <v>12</v>
      </c>
    </row>
    <row r="24" customFormat="false" ht="15" hidden="false" customHeight="false" outlineLevel="0" collapsed="false">
      <c r="A24" s="21" t="s">
        <v>45</v>
      </c>
      <c r="B24" s="25" t="n">
        <f aca="false">SUM(B19:B23)</f>
        <v>658322</v>
      </c>
      <c r="C24" s="23" t="str">
        <f aca="false">COUNTIF(C19:C23,"Yes")&amp;" in"</f>
        <v>5 in</v>
      </c>
      <c r="D24" s="22"/>
      <c r="E24" s="25" t="n">
        <f aca="false">SUM(E19:E23)</f>
        <v>39499.32</v>
      </c>
      <c r="F24" s="25" t="n">
        <f aca="false">SUM(F19:F23)</f>
        <v>26332.88</v>
      </c>
      <c r="G24" s="55" t="n">
        <f aca="false">IF(B24=0,0,F24/B24)</f>
        <v>0.04</v>
      </c>
      <c r="H24" s="25" t="n">
        <f aca="false">SUM(H19:H23)</f>
        <v>60</v>
      </c>
    </row>
    <row r="25" customFormat="false" ht="15" hidden="false" customHeight="false" outlineLevel="0" collapsed="false">
      <c r="A25" s="2" t="s">
        <v>210</v>
      </c>
    </row>
    <row r="27" customFormat="false" ht="15" hidden="false" customHeight="false" outlineLevel="0" collapsed="false">
      <c r="A27" s="4" t="s">
        <v>211</v>
      </c>
      <c r="B27" s="5"/>
      <c r="C27" s="5"/>
      <c r="D27" s="5"/>
      <c r="E27" s="5"/>
    </row>
    <row r="28" customFormat="false" ht="30" hidden="false" customHeight="true" outlineLevel="0" collapsed="false">
      <c r="A28" s="6" t="s">
        <v>212</v>
      </c>
      <c r="B28" s="6" t="s">
        <v>107</v>
      </c>
      <c r="C28" s="6" t="s">
        <v>108</v>
      </c>
      <c r="D28" s="6" t="s">
        <v>29</v>
      </c>
    </row>
    <row r="29" customFormat="false" ht="33.75" hidden="false" customHeight="true" outlineLevel="0" collapsed="false">
      <c r="A29" s="7" t="s">
        <v>213</v>
      </c>
      <c r="B29" s="20" t="n">
        <f aca="false">C29/12</f>
        <v>2194.40666666667</v>
      </c>
      <c r="C29" s="10" t="n">
        <f aca="false">F24</f>
        <v>26332.88</v>
      </c>
      <c r="D29" s="19" t="s">
        <v>214</v>
      </c>
    </row>
    <row r="30" customFormat="false" ht="33.75" hidden="false" customHeight="true" outlineLevel="0" collapsed="false">
      <c r="A30" s="7" t="s">
        <v>215</v>
      </c>
      <c r="B30" s="20" t="n">
        <f aca="false">C30/12</f>
        <v>0</v>
      </c>
      <c r="C30" s="10" t="n">
        <f aca="false">IF($C$8="Employer",H24,0)</f>
        <v>0</v>
      </c>
      <c r="D30" s="19" t="s">
        <v>216</v>
      </c>
    </row>
    <row r="31" customFormat="false" ht="15" hidden="false" customHeight="false" outlineLevel="0" collapsed="false">
      <c r="A31" s="21" t="s">
        <v>217</v>
      </c>
      <c r="B31" s="24" t="n">
        <f aca="false">SUM(B29:B30)</f>
        <v>2194.40666666667</v>
      </c>
      <c r="C31" s="25" t="n">
        <f aca="false">SUM(C29:C30)</f>
        <v>26332.88</v>
      </c>
      <c r="D31" s="22"/>
    </row>
    <row r="32" customFormat="false" ht="15" hidden="false" customHeight="false" outlineLevel="0" collapsed="false">
      <c r="A32" s="2" t="s">
        <v>218</v>
      </c>
    </row>
    <row r="34" customFormat="false" ht="15" hidden="false" customHeight="false" outlineLevel="0" collapsed="false">
      <c r="A34" s="4" t="s">
        <v>219</v>
      </c>
      <c r="B34" s="5"/>
      <c r="C34" s="5"/>
      <c r="D34" s="5"/>
      <c r="E34" s="5"/>
    </row>
    <row r="35" customFormat="false" ht="27.75" hidden="false" customHeight="true" outlineLevel="0" collapsed="false">
      <c r="A35" s="56" t="s">
        <v>220</v>
      </c>
    </row>
    <row r="36" customFormat="false" ht="27.75" hidden="false" customHeight="true" outlineLevel="0" collapsed="false">
      <c r="A36" s="56" t="s">
        <v>221</v>
      </c>
    </row>
    <row r="37" customFormat="false" ht="27.75" hidden="false" customHeight="true" outlineLevel="0" collapsed="false">
      <c r="A37" s="56" t="s">
        <v>222</v>
      </c>
    </row>
    <row r="38" customFormat="false" ht="27.75" hidden="false" customHeight="true" outlineLevel="0" collapsed="false">
      <c r="A38" s="56" t="s">
        <v>223</v>
      </c>
    </row>
    <row r="39" customFormat="false" ht="27.75" hidden="false" customHeight="true" outlineLevel="0" collapsed="false">
      <c r="A39" s="56" t="s">
        <v>224</v>
      </c>
    </row>
  </sheetData>
  <dataValidations count="3">
    <dataValidation allowBlank="false" errorStyle="stop" operator="between" showDropDown="false" showErrorMessage="false" showInputMessage="false" sqref="C8" type="list">
      <formula1>"Participant,Employer"</formula1>
      <formula2>0</formula2>
    </dataValidation>
    <dataValidation allowBlank="false" errorStyle="stop" operator="between" showDropDown="false" showErrorMessage="false" showInputMessage="false" sqref="C12" type="list">
      <formula1>"Tiered match,Non-elective,None"</formula1>
      <formula2>0</formula2>
    </dataValidation>
    <dataValidation allowBlank="false" errorStyle="stop" operator="between" showDropDown="false" showErrorMessage="false" showInputMessage="false" sqref="C19:C23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8"/>
    <col collapsed="false" customWidth="true" hidden="false" outlineLevel="0" max="6" min="6" style="0" width="20"/>
    <col collapsed="false" customWidth="true" hidden="false" outlineLevel="0" max="7" min="7" style="0" width="22"/>
  </cols>
  <sheetData>
    <row r="1" customFormat="false" ht="18.55" hidden="false" customHeight="false" outlineLevel="0" collapsed="false">
      <c r="A1" s="1" t="s">
        <v>225</v>
      </c>
    </row>
    <row r="2" customFormat="false" ht="15" hidden="false" customHeight="false" outlineLevel="0" collapsed="false">
      <c r="A2" s="2" t="s">
        <v>226</v>
      </c>
    </row>
    <row r="4" customFormat="false" ht="15" hidden="false" customHeight="false" outlineLevel="0" collapsed="false">
      <c r="A4" s="14" t="s">
        <v>227</v>
      </c>
      <c r="B4" s="12"/>
      <c r="C4" s="54" t="s">
        <v>59</v>
      </c>
    </row>
    <row r="6" customFormat="false" ht="15" hidden="false" customHeight="false" outlineLevel="0" collapsed="false">
      <c r="A6" s="4" t="s">
        <v>228</v>
      </c>
      <c r="B6" s="5"/>
      <c r="C6" s="5"/>
      <c r="D6" s="5"/>
      <c r="E6" s="5"/>
      <c r="F6" s="5"/>
    </row>
    <row r="7" customFormat="false" ht="30" hidden="false" customHeight="true" outlineLevel="0" collapsed="false">
      <c r="A7" s="6" t="s">
        <v>102</v>
      </c>
      <c r="B7" s="6" t="s">
        <v>229</v>
      </c>
      <c r="C7" s="6" t="s">
        <v>107</v>
      </c>
      <c r="D7" s="6" t="s">
        <v>108</v>
      </c>
      <c r="E7" s="6" t="s">
        <v>29</v>
      </c>
    </row>
    <row r="8" customFormat="false" ht="27.75" hidden="false" customHeight="true" outlineLevel="0" collapsed="false">
      <c r="A8" s="7" t="s">
        <v>230</v>
      </c>
      <c r="B8" s="51" t="s">
        <v>231</v>
      </c>
      <c r="C8" s="20" t="n">
        <f aca="false">SUMIFS('Cost by Tier'!$K$5:$K$16,'Cost by Tier'!$A$5:$A$16,$C$4)/12</f>
        <v>2900</v>
      </c>
      <c r="D8" s="10" t="n">
        <f aca="false">SUMIFS('Cost by Tier'!$K$5:$K$16,'Cost by Tier'!$A$5:$A$16,$C$4)</f>
        <v>34800</v>
      </c>
      <c r="E8" s="19" t="s">
        <v>232</v>
      </c>
    </row>
    <row r="9" customFormat="false" ht="27.75" hidden="false" customHeight="true" outlineLevel="0" collapsed="false">
      <c r="A9" s="7" t="s">
        <v>109</v>
      </c>
      <c r="B9" s="51" t="s">
        <v>233</v>
      </c>
      <c r="C9" s="20" t="n">
        <f aca="false">Questco!F6</f>
        <v>585</v>
      </c>
      <c r="D9" s="10" t="n">
        <f aca="false">Questco!G6</f>
        <v>7020</v>
      </c>
      <c r="E9" s="19" t="s">
        <v>234</v>
      </c>
    </row>
    <row r="10" customFormat="false" ht="27.75" hidden="false" customHeight="true" outlineLevel="0" collapsed="false">
      <c r="A10" s="7" t="s">
        <v>235</v>
      </c>
      <c r="B10" s="51" t="s">
        <v>233</v>
      </c>
      <c r="C10" s="20" t="n">
        <f aca="false">Questco!F7</f>
        <v>116.844166666667</v>
      </c>
      <c r="D10" s="10" t="n">
        <f aca="false">Questco!G7</f>
        <v>1402.13</v>
      </c>
      <c r="E10" s="19" t="s">
        <v>236</v>
      </c>
    </row>
    <row r="11" customFormat="false" ht="27.75" hidden="false" customHeight="true" outlineLevel="0" collapsed="false">
      <c r="A11" s="7" t="s">
        <v>116</v>
      </c>
      <c r="B11" s="51" t="s">
        <v>233</v>
      </c>
      <c r="C11" s="20" t="n">
        <f aca="false">Questco!F8</f>
        <v>0</v>
      </c>
      <c r="D11" s="10" t="n">
        <f aca="false">Questco!G8</f>
        <v>0</v>
      </c>
      <c r="E11" s="19" t="s">
        <v>237</v>
      </c>
    </row>
    <row r="12" customFormat="false" ht="27.75" hidden="false" customHeight="true" outlineLevel="0" collapsed="false">
      <c r="A12" s="7" t="s">
        <v>238</v>
      </c>
      <c r="B12" s="51" t="s">
        <v>233</v>
      </c>
      <c r="C12" s="20" t="n">
        <f aca="false">Questco!D18</f>
        <v>205.34</v>
      </c>
      <c r="D12" s="10" t="n">
        <f aca="false">Questco!E18</f>
        <v>2464.08</v>
      </c>
      <c r="E12" s="19" t="s">
        <v>239</v>
      </c>
    </row>
    <row r="13" customFormat="false" ht="27.75" hidden="false" customHeight="true" outlineLevel="0" collapsed="false">
      <c r="A13" s="7" t="s">
        <v>240</v>
      </c>
      <c r="B13" s="51" t="s">
        <v>233</v>
      </c>
      <c r="C13" s="20" t="n">
        <f aca="false">'401(k)'!B31</f>
        <v>2194.40666666667</v>
      </c>
      <c r="D13" s="10" t="n">
        <f aca="false">'401(k)'!C31</f>
        <v>26332.88</v>
      </c>
      <c r="E13" s="19" t="s">
        <v>241</v>
      </c>
    </row>
    <row r="14" customFormat="false" ht="15" hidden="false" customHeight="false" outlineLevel="0" collapsed="false">
      <c r="A14" s="21" t="s">
        <v>242</v>
      </c>
      <c r="B14" s="22"/>
      <c r="C14" s="24" t="n">
        <f aca="false">SUM(C8:C13)</f>
        <v>6001.59083333333</v>
      </c>
      <c r="D14" s="25" t="n">
        <f aca="false">SUM(D8:D13)</f>
        <v>72019.09</v>
      </c>
      <c r="E14" s="22"/>
    </row>
    <row r="15" customFormat="false" ht="15" hidden="false" customHeight="false" outlineLevel="0" collapsed="false">
      <c r="A15" s="7" t="s">
        <v>243</v>
      </c>
      <c r="B15" s="51" t="s">
        <v>233</v>
      </c>
      <c r="C15" s="12"/>
      <c r="D15" s="10" t="n">
        <f aca="false">Questco!G10</f>
        <v>1000</v>
      </c>
      <c r="E15" s="12"/>
    </row>
    <row r="16" customFormat="false" ht="15" hidden="false" customHeight="false" outlineLevel="0" collapsed="false">
      <c r="A16" s="21" t="s">
        <v>244</v>
      </c>
      <c r="B16" s="22"/>
      <c r="C16" s="22"/>
      <c r="D16" s="25" t="n">
        <f aca="false">D14+D15</f>
        <v>73019.09</v>
      </c>
      <c r="E16" s="22"/>
    </row>
    <row r="17" customFormat="false" ht="15" hidden="false" customHeight="false" outlineLevel="0" collapsed="false">
      <c r="A17" s="57" t="s">
        <v>245</v>
      </c>
    </row>
    <row r="18" customFormat="false" ht="15" hidden="false" customHeight="false" outlineLevel="0" collapsed="false">
      <c r="A18" s="2" t="s">
        <v>246</v>
      </c>
    </row>
    <row r="20" customFormat="false" ht="15" hidden="false" customHeight="false" outlineLevel="0" collapsed="false">
      <c r="A20" s="4" t="s">
        <v>247</v>
      </c>
      <c r="B20" s="5"/>
      <c r="C20" s="5"/>
      <c r="D20" s="5"/>
      <c r="E20" s="5"/>
      <c r="F20" s="5"/>
    </row>
    <row r="21" customFormat="false" ht="30" hidden="false" customHeight="true" outlineLevel="0" collapsed="false">
      <c r="A21" s="6" t="s">
        <v>212</v>
      </c>
      <c r="B21" s="6" t="s">
        <v>107</v>
      </c>
      <c r="C21" s="6" t="s">
        <v>108</v>
      </c>
      <c r="D21" s="6" t="s">
        <v>29</v>
      </c>
    </row>
    <row r="22" customFormat="false" ht="27.75" hidden="false" customHeight="true" outlineLevel="0" collapsed="false">
      <c r="A22" s="7" t="s">
        <v>248</v>
      </c>
      <c r="B22" s="20" t="n">
        <f aca="false">SUMIFS('Cost by Tier'!$P$5:$P$16,'Cost by Tier'!$A$5:$A$16,$C$4)/12</f>
        <v>1183</v>
      </c>
      <c r="C22" s="10" t="n">
        <f aca="false">SUMIFS('Cost by Tier'!$P$5:$P$16,'Cost by Tier'!$A$5:$A$16,$C$4)</f>
        <v>14196</v>
      </c>
      <c r="D22" s="19" t="s">
        <v>249</v>
      </c>
    </row>
    <row r="23" customFormat="false" ht="27.75" hidden="false" customHeight="true" outlineLevel="0" collapsed="false">
      <c r="A23" s="7" t="s">
        <v>250</v>
      </c>
      <c r="B23" s="20" t="n">
        <f aca="false">'401(k)'!E24/12</f>
        <v>3291.61</v>
      </c>
      <c r="C23" s="10" t="n">
        <f aca="false">'401(k)'!E24</f>
        <v>39499.32</v>
      </c>
      <c r="D23" s="19" t="s">
        <v>251</v>
      </c>
    </row>
    <row r="24" customFormat="false" ht="27.75" hidden="false" customHeight="true" outlineLevel="0" collapsed="false">
      <c r="A24" s="7" t="s">
        <v>252</v>
      </c>
      <c r="B24" s="20" t="n">
        <f aca="false">IF('401(k)'!$C$8="Employer",0,'401(k)'!H24/12)</f>
        <v>5</v>
      </c>
      <c r="C24" s="10" t="n">
        <f aca="false">IF('401(k)'!$C$8="Employer",0,'401(k)'!H24)</f>
        <v>60</v>
      </c>
      <c r="D24" s="19" t="s">
        <v>253</v>
      </c>
    </row>
    <row r="25" customFormat="false" ht="27.75" hidden="false" customHeight="true" outlineLevel="0" collapsed="false">
      <c r="A25" s="14" t="s">
        <v>254</v>
      </c>
      <c r="B25" s="20" t="n">
        <f aca="false">C8+B22</f>
        <v>4083</v>
      </c>
      <c r="C25" s="38" t="n">
        <f aca="false">D8+C22</f>
        <v>48996</v>
      </c>
      <c r="D25" s="19" t="s">
        <v>255</v>
      </c>
    </row>
    <row r="26" customFormat="false" ht="27.75" hidden="false" customHeight="true" outlineLevel="0" collapsed="false">
      <c r="A26" s="14" t="s">
        <v>256</v>
      </c>
      <c r="B26" s="20" t="n">
        <f aca="false">C14+B22+B24</f>
        <v>7189.59083333333</v>
      </c>
      <c r="C26" s="38" t="n">
        <f aca="false">D14+C22+C24</f>
        <v>86275.09</v>
      </c>
      <c r="D26" s="19" t="s">
        <v>257</v>
      </c>
    </row>
    <row r="27" customFormat="false" ht="27.75" hidden="false" customHeight="true" outlineLevel="0" collapsed="false">
      <c r="A27" s="14" t="s">
        <v>258</v>
      </c>
      <c r="B27" s="12"/>
      <c r="C27" s="38" t="n">
        <f aca="false">D14+SUMPRODUCT(('Cost by Tier'!$A$5:$A$16=$C$4)*'Cost by Tier'!$O$5:$O$16*'Cost by Tier'!$D$5:$D$16)</f>
        <v>121215.09</v>
      </c>
      <c r="D27" s="19" t="s">
        <v>259</v>
      </c>
    </row>
    <row r="29" customFormat="false" ht="15" hidden="false" customHeight="false" outlineLevel="0" collapsed="false">
      <c r="A29" s="4" t="s">
        <v>260</v>
      </c>
      <c r="B29" s="5"/>
      <c r="C29" s="5"/>
      <c r="D29" s="5"/>
      <c r="E29" s="5"/>
      <c r="F29" s="5"/>
      <c r="G29" s="5"/>
    </row>
    <row r="30" customFormat="false" ht="30" hidden="false" customHeight="true" outlineLevel="0" collapsed="false">
      <c r="A30" s="6" t="s">
        <v>261</v>
      </c>
      <c r="B30" s="6" t="s">
        <v>49</v>
      </c>
      <c r="C30" s="6" t="s">
        <v>262</v>
      </c>
      <c r="D30" s="6" t="s">
        <v>263</v>
      </c>
      <c r="E30" s="6" t="s">
        <v>264</v>
      </c>
      <c r="F30" s="6" t="s">
        <v>265</v>
      </c>
      <c r="G30" s="6" t="s">
        <v>266</v>
      </c>
    </row>
    <row r="31" customFormat="false" ht="15" hidden="false" customHeight="false" outlineLevel="0" collapsed="false">
      <c r="A31" s="7" t="s">
        <v>59</v>
      </c>
      <c r="B31" s="8" t="s">
        <v>60</v>
      </c>
      <c r="C31" s="10" t="n">
        <f aca="false">SUMIFS('Cost by Tier'!$K$5:$K$16,'Cost by Tier'!$A$5:$A$16,$A31)</f>
        <v>34800</v>
      </c>
      <c r="D31" s="38" t="n">
        <f aca="false">C31+Questco!$G$6+Questco!$G$7+Questco!$G$8+Questco!$E$18+'401(k)'!$C$31</f>
        <v>72019.09</v>
      </c>
      <c r="E31" s="10" t="n">
        <f aca="false">SUMIFS('Cost by Tier'!$P$5:$P$16,'Cost by Tier'!$A$5:$A$16,$A31)</f>
        <v>14196</v>
      </c>
      <c r="F31" s="10" t="n">
        <f aca="false">D31+E31+IF('401(k)'!$C$8="Employer",0,'401(k)'!H24)</f>
        <v>86275.09</v>
      </c>
      <c r="G31" s="10" t="n">
        <f aca="false">D31+SUMPRODUCT(('Cost by Tier'!$A$5:$A$16=$A31)*'Cost by Tier'!$O$5:$O$16*'Cost by Tier'!$D$5:$D$16)</f>
        <v>121215.09</v>
      </c>
    </row>
    <row r="32" customFormat="false" ht="15" hidden="false" customHeight="false" outlineLevel="0" collapsed="false">
      <c r="A32" s="39" t="s">
        <v>64</v>
      </c>
      <c r="B32" s="40" t="s">
        <v>65</v>
      </c>
      <c r="C32" s="44" t="n">
        <f aca="false">SUMIFS('Cost by Tier'!$K$5:$K$16,'Cost by Tier'!$A$5:$A$16,$A32)</f>
        <v>34800</v>
      </c>
      <c r="D32" s="46" t="n">
        <f aca="false">C32+Questco!$G$6+Questco!$G$7+Questco!$G$8+Questco!$E$18+'401(k)'!$C$31</f>
        <v>72019.09</v>
      </c>
      <c r="E32" s="44" t="n">
        <f aca="false">SUMIFS('Cost by Tier'!$P$5:$P$16,'Cost by Tier'!$A$5:$A$16,$A32)</f>
        <v>20119.44</v>
      </c>
      <c r="F32" s="44" t="n">
        <f aca="false">D32+E32+IF('401(k)'!$C$8="Employer",0,'401(k)'!H24)</f>
        <v>92198.53</v>
      </c>
      <c r="G32" s="44" t="n">
        <f aca="false">D32+SUMPRODUCT(('Cost by Tier'!$A$5:$A$16=$A32)*'Cost by Tier'!$O$5:$O$16*'Cost by Tier'!$D$5:$D$16)</f>
        <v>120138.53</v>
      </c>
    </row>
    <row r="33" customFormat="false" ht="15" hidden="false" customHeight="false" outlineLevel="0" collapsed="false">
      <c r="A33" s="7" t="s">
        <v>71</v>
      </c>
      <c r="B33" s="8" t="s">
        <v>65</v>
      </c>
      <c r="C33" s="10" t="n">
        <f aca="false">SUMIFS('Cost by Tier'!$K$5:$K$16,'Cost by Tier'!$A$5:$A$16,$A33)</f>
        <v>34800</v>
      </c>
      <c r="D33" s="38" t="n">
        <f aca="false">C33+Questco!$G$6+Questco!$G$7+Questco!$G$8+Questco!$E$18+'401(k)'!$C$31</f>
        <v>72019.09</v>
      </c>
      <c r="E33" s="10" t="n">
        <f aca="false">SUMIFS('Cost by Tier'!$P$5:$P$16,'Cost by Tier'!$A$5:$A$16,$A33)</f>
        <v>26170.08</v>
      </c>
      <c r="F33" s="10" t="n">
        <f aca="false">D33+E33+IF('401(k)'!$C$8="Employer",0,'401(k)'!H24)</f>
        <v>98249.17</v>
      </c>
      <c r="G33" s="10" t="n">
        <f aca="false">D33+SUMPRODUCT(('Cost by Tier'!$A$5:$A$16=$A33)*'Cost by Tier'!$O$5:$O$16*'Cost by Tier'!$D$5:$D$16)</f>
        <v>112189.17</v>
      </c>
    </row>
    <row r="35" customFormat="false" ht="15" hidden="false" customHeight="false" outlineLevel="0" collapsed="false">
      <c r="A35" s="2" t="s">
        <v>267</v>
      </c>
    </row>
    <row r="36" customFormat="false" ht="15" hidden="false" customHeight="false" outlineLevel="0" collapsed="false">
      <c r="A36" s="2" t="s">
        <v>268</v>
      </c>
    </row>
  </sheetData>
  <dataValidations count="1">
    <dataValidation allowBlank="false" errorStyle="stop" operator="between" showDropDown="false" showErrorMessage="false" showInputMessage="false" sqref="C4" type="list">
      <formula1>"ANG HDHP 3400/5000,ANG TRAD 2000/4000,ANG TRAD 1000/2000"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2026-09-17T18:15:02Z</dcterms:created>
  <dc:creator>openpyxl</dc:creator>
  <dc:description/>
  <dc:language>en-US</dc:language>
  <cp:lastModifiedBy/>
  <dcterms:modified xsi:type="dcterms:W3CDTF">2026-09-17T18:15:02Z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