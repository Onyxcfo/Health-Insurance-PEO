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ibutions" sheetId="1" state="visible" r:id="rId3"/>
    <sheet name="Angle Plans" sheetId="2" state="visible" r:id="rId4"/>
    <sheet name="Cost by Tier" sheetId="3" state="visible" r:id="rId5"/>
    <sheet name="By Employee" sheetId="4" state="visible" r:id="rId6"/>
    <sheet name="Questco" sheetId="5" state="visible" r:id="rId7"/>
    <sheet name="401(k)" sheetId="6" state="visible" r:id="rId8"/>
    <sheet name="Combined" sheetId="7" state="visible" r:id="rId9"/>
  </sheets>
  <definedNames>
    <definedName function="false" hidden="true" localSheetId="3" name="_xlnm._FilterDatabase" vbProcedure="false">'By Employee'!$A$4:$L$19</definedName>
    <definedName function="false" hidden="true" localSheetId="2" name="_xlnm._FilterDatabase" vbProcedure="false">'Cost by Tier'!$A$4:$P$16</definedName>
    <definedName function="false" hidden="false" name="CostKey" vbProcedure="false">'Cost by Tier'!$Q$5:$Q$16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<sst xmlns="http://schemas.openxmlformats.org/spreadsheetml/2006/main" count="477" uniqueCount="283">
  <si>
    <t xml:space="preserve">Onyx Accounting Group, LLC - Angle Health + Questco</t>
  </si>
  <si>
    <t xml:space="preserve">Medical placed with Angle Health through CapFi. All other PEO services through Questco. Medical effective 10/01/2026.</t>
  </si>
  <si>
    <t xml:space="preserve">EDIT THE YELLOW CELLS ONLY. Every other number on every tab recalculates from them.</t>
  </si>
  <si>
    <t xml:space="preserve">1.  ONYX MONTHLY CONTRIBUTION BY TIER   &lt;- this is the lever</t>
  </si>
  <si>
    <t xml:space="preserve">Tier</t>
  </si>
  <si>
    <t xml:space="preserve">Code</t>
  </si>
  <si>
    <t xml:space="preserve">Onyx pays $/mo</t>
  </si>
  <si>
    <t xml:space="preserve">Onyx pays $/yr</t>
  </si>
  <si>
    <t xml:space="preserve">Angle minimum funding $/mo</t>
  </si>
  <si>
    <t xml:space="preserve">Clears the minimum?</t>
  </si>
  <si>
    <t xml:space="preserve">Employee only</t>
  </si>
  <si>
    <t xml:space="preserve">EE</t>
  </si>
  <si>
    <t xml:space="preserve">Employee + spouse</t>
  </si>
  <si>
    <t xml:space="preserve">ES</t>
  </si>
  <si>
    <t xml:space="preserve">Employee + child(ren)</t>
  </si>
  <si>
    <t xml:space="preserve">EC</t>
  </si>
  <si>
    <t xml:space="preserve">Family</t>
  </si>
  <si>
    <t xml:space="preserve">FAM</t>
  </si>
  <si>
    <t xml:space="preserve">Fixed dollars, medical only. Dental and vision are not offered by Angle; life, LTD and STD are quoted separately by Questco on the Questco tab.</t>
  </si>
  <si>
    <t xml:space="preserve">2.  ANGLE MINIMUM FUNDING REQUIREMENT</t>
  </si>
  <si>
    <t xml:space="preserve">Percentage of the lowest employee-only rate</t>
  </si>
  <si>
    <t xml:space="preserve">Minimum Onyx must fund, per enrolled employee, per month</t>
  </si>
  <si>
    <t xml:space="preserve">Minimum total funding at current enrollment, per year</t>
  </si>
  <si>
    <t xml:space="preserve">Angle's own presentation states minimum funding of $10,536.96/yr - 50% of the HDHP 3400/5000's $439.03 employee-only rate across four enrolled employees. The formula above lands at $10,536.72; the 24-cent difference is Angle rounding the monthly floor to $219.52.</t>
  </si>
  <si>
    <t xml:space="preserve">3.  WHO IS ENROLLED   &lt;- change Yes/No to re-run the whole model</t>
  </si>
  <si>
    <t xml:space="preserve">Employee</t>
  </si>
  <si>
    <t xml:space="preserve">Annual pay</t>
  </si>
  <si>
    <t xml:space="preserve">Medical tier</t>
  </si>
  <si>
    <t xml:space="preserve">Enrolling?</t>
  </si>
  <si>
    <t xml:space="preserve">Note</t>
  </si>
  <si>
    <t xml:space="preserve">Steven Nikolov</t>
  </si>
  <si>
    <t xml:space="preserve">Yes</t>
  </si>
  <si>
    <t xml:space="preserve">100% owner. &gt;2% S-corp shareholder - premiums cannot run pretax through the cafeteria plan (IRC 1372).</t>
  </si>
  <si>
    <t xml:space="preserve">Lisa Danforth</t>
  </si>
  <si>
    <t xml:space="preserve">Jessica Bumphus</t>
  </si>
  <si>
    <t xml:space="preserve">New hire.</t>
  </si>
  <si>
    <t xml:space="preserve">Christine Johnson</t>
  </si>
  <si>
    <t xml:space="preserve">Lowest salary, second-highest tier - feels the deduction hardest.</t>
  </si>
  <si>
    <t xml:space="preserve">Josephine Mack</t>
  </si>
  <si>
    <t xml:space="preserve">No</t>
  </si>
  <si>
    <t xml:space="preserve">Waiving. Shown so the model can be re-run with her enrolled - change to Yes.</t>
  </si>
  <si>
    <t xml:space="preserve">4.  ENROLLMENT AND COST AT THE CURRENT SETTINGS</t>
  </si>
  <si>
    <t xml:space="preserve">Enrolled</t>
  </si>
  <si>
    <t xml:space="preserve">Onyx $/mo</t>
  </si>
  <si>
    <t xml:space="preserve">Onyx $/yr</t>
  </si>
  <si>
    <t xml:space="preserve">TOTAL</t>
  </si>
  <si>
    <t xml:space="preserve">Angle Health - all three plans</t>
  </si>
  <si>
    <t xml:space="preserve">Level funded on the Cigna PPO network. Out-of-network is covered at 50% after a separate out-of-network deductible. Coinsurance is the share the PLAN pays after the deductible.</t>
  </si>
  <si>
    <t xml:space="preserve">Plan</t>
  </si>
  <si>
    <t xml:space="preserve">HSA</t>
  </si>
  <si>
    <t xml:space="preserve">Ded individual</t>
  </si>
  <si>
    <t xml:space="preserve">Ded family</t>
  </si>
  <si>
    <t xml:space="preserve">OOP max individual</t>
  </si>
  <si>
    <t xml:space="preserve">OOP max family</t>
  </si>
  <si>
    <t xml:space="preserve">Coins (plan pays)</t>
  </si>
  <si>
    <t xml:space="preserve">PCP</t>
  </si>
  <si>
    <t xml:space="preserve">Specialist</t>
  </si>
  <si>
    <t xml:space="preserve">Rx</t>
  </si>
  <si>
    <t xml:space="preserve">Emergency room</t>
  </si>
  <si>
    <t xml:space="preserve">ANG HDHP 3400/5000</t>
  </si>
  <si>
    <t xml:space="preserve">Y</t>
  </si>
  <si>
    <t xml:space="preserve">20% after ded</t>
  </si>
  <si>
    <t xml:space="preserve">20% after ded (all tiers)</t>
  </si>
  <si>
    <t xml:space="preserve">CapFi's recommended base plan. Sets the minimum-funding floor.</t>
  </si>
  <si>
    <t xml:space="preserve">ANG TRAD 2000/4000</t>
  </si>
  <si>
    <t xml:space="preserve">N</t>
  </si>
  <si>
    <t xml:space="preserve">$20</t>
  </si>
  <si>
    <t xml:space="preserve">$50</t>
  </si>
  <si>
    <t xml:space="preserve">$20 / $60</t>
  </si>
  <si>
    <t xml:space="preserve">$250</t>
  </si>
  <si>
    <t xml:space="preserve">Tier rates DERIVED from the ratios in the two documented plans. Confirm with CapFi before quoting to employees.</t>
  </si>
  <si>
    <t xml:space="preserve">ANG TRAD 1000/2000</t>
  </si>
  <si>
    <t xml:space="preserve">$10</t>
  </si>
  <si>
    <t xml:space="preserve">$30</t>
  </si>
  <si>
    <t xml:space="preserve">$10 / $30</t>
  </si>
  <si>
    <t xml:space="preserve">$200</t>
  </si>
  <si>
    <t xml:space="preserve">Best plan design in the whole field - $1,000 deductible, $2,000 out-of-pocket maximum.</t>
  </si>
  <si>
    <t xml:space="preserve">Every cell above is transcribed from the CapFi / Angle Health presentation, quote 400798, underwritten 7/30/2026.</t>
  </si>
  <si>
    <t xml:space="preserve">What each Angle plan costs Onyx and the employee</t>
  </si>
  <si>
    <t xml:space="preserve">Onyx pays the greater of its tier contribution and Angle's minimum funding, never more than the premium. Worst case = the employee's annual premium plus that household's in-network out-of-pocket maximum; premiums never count toward an out-of-pocket maximum, so the two add without overlapping.</t>
  </si>
  <si>
    <t xml:space="preserve">Monthly premium</t>
  </si>
  <si>
    <t xml:space="preserve">Onyx contribution $/mo</t>
  </si>
  <si>
    <t xml:space="preserve">Angle minimum $/mo</t>
  </si>
  <si>
    <t xml:space="preserve">Employee pays $/mo</t>
  </si>
  <si>
    <t xml:space="preserve">Onyx share</t>
  </si>
  <si>
    <t xml:space="preserve">Onyx $/yr (all enrolled)</t>
  </si>
  <si>
    <t xml:space="preserve">Employee $/yr (each)</t>
  </si>
  <si>
    <t xml:space="preserve">Deductible</t>
  </si>
  <si>
    <t xml:space="preserve">OOP max</t>
  </si>
  <si>
    <t xml:space="preserve">Worst case $/yr (each)</t>
  </si>
  <si>
    <t xml:space="preserve">Employee $/yr (all in tier)</t>
  </si>
  <si>
    <t xml:space="preserve">Row key</t>
  </si>
  <si>
    <t xml:space="preserve">HSA funding is deliberately not modeled. On the HDHP 3400/5000 an employee can pay part of that worst case with pretax dollars, so the real cost is lower - but by an amount only the employee controls.</t>
  </si>
  <si>
    <t xml:space="preserve">'Onyx $/yr (all enrolled)' multiplies by how many people sit in that tier, so the column sums to Onyx's whole medical spend.</t>
  </si>
  <si>
    <t xml:space="preserve">Every Angle plan, priced for each person</t>
  </si>
  <si>
    <t xml:space="preserve">Driven by the enrollment table on the Contributions tab. Anyone marked No shows a blank deduction - change them to Yes to price them in.</t>
  </si>
  <si>
    <t xml:space="preserve">Employee $/mo</t>
  </si>
  <si>
    <t xml:space="preserve">Employee $/yr</t>
  </si>
  <si>
    <t xml:space="preserve">Worst case $/yr</t>
  </si>
  <si>
    <t xml:space="preserve">Questco - PEO services other than medical</t>
  </si>
  <si>
    <t xml:space="preserve">IRS-Certified PEO. Quote dated for 5 worksite employees on $658,322 of annual payroll. Medical is declined - Onyx takes Angle instead.</t>
  </si>
  <si>
    <t xml:space="preserve">1.  WHAT ONYX PAYS QUESTCO   (payroll taxes are separate - see block 3)</t>
  </si>
  <si>
    <t xml:space="preserve">Cost line</t>
  </si>
  <si>
    <t xml:space="preserve">Basis</t>
  </si>
  <si>
    <t xml:space="preserve">Rate / amount</t>
  </si>
  <si>
    <t xml:space="preserve">Headcount</t>
  </si>
  <si>
    <t xml:space="preserve">Elected?</t>
  </si>
  <si>
    <t xml:space="preserve">Monthly</t>
  </si>
  <si>
    <t xml:space="preserve">Annual</t>
  </si>
  <si>
    <t xml:space="preserve">Administrative fee</t>
  </si>
  <si>
    <t xml:space="preserve">Per active employee per month</t>
  </si>
  <si>
    <t xml:space="preserve">Required</t>
  </si>
  <si>
    <t xml:space="preserve">The core PEO fee. $117 PEPM as quoted.</t>
  </si>
  <si>
    <t xml:space="preserve">Workers' compensation + EPLI</t>
  </si>
  <si>
    <t xml:space="preserve">Annual premium</t>
  </si>
  <si>
    <t xml:space="preserve">Subject to full underwriting - loss runs, class-code confirmation, possible survey. The rate can move.</t>
  </si>
  <si>
    <t xml:space="preserve">Cyber liability</t>
  </si>
  <si>
    <t xml:space="preserve">$250,000 aggregate, $1,000 per-claim retention, $50,000 sub-limits. Set to No - Onyx is placing cyber separately. A standalone policy is the right call for a firm holding client tax data under the FTC Safeguards Rule and IRS Pub 4557.</t>
  </si>
  <si>
    <t xml:space="preserve">Recurring subtotal</t>
  </si>
  <si>
    <t xml:space="preserve">Payroll installation / implementation</t>
  </si>
  <si>
    <t xml:space="preserve">One time, first year only</t>
  </si>
  <si>
    <t xml:space="preserve">The 401(k) is on its own tab. Questco charges Onyx nothing for it unless Onyx matches.</t>
  </si>
  <si>
    <t xml:space="preserve">2.  OPTIONAL EMPLOYER-PAID BENEFITS   &lt;- set Yes / No</t>
  </si>
  <si>
    <t xml:space="preserve">Benefit</t>
  </si>
  <si>
    <t xml:space="preserve">Design</t>
  </si>
  <si>
    <t xml:space="preserve">Basic life &amp; AD&amp;D</t>
  </si>
  <si>
    <t xml:space="preserve">$50,000 flat</t>
  </si>
  <si>
    <t xml:space="preserve">$50,000 is exactly the IRC 79 exclusion limit. Going to 1x salary would create imputed W-2 income for Steven, Lisa and Jessica and cost about $1,100 more. Steven's is taxable either way as a &gt;2% shareholder.</t>
  </si>
  <si>
    <t xml:space="preserve">Long-term disability</t>
  </si>
  <si>
    <t xml:space="preserve">60% to $10,000/mo, 90-day elimination</t>
  </si>
  <si>
    <t xml:space="preserve">The $15,000 tier is priced identically because nobody's 60% benefit reaches it - Steven's is the highest at $9,300. At $5,000 the three highest earners would be underinsured.</t>
  </si>
  <si>
    <t xml:space="preserve">Short-term disability</t>
  </si>
  <si>
    <t xml:space="preserve">60% to $1,500/wk, 7/14, 13 weeks</t>
  </si>
  <si>
    <t xml:space="preserve">Onyx's stated benefit design has STD employee-paid. Set to Yes to model Onyx funding it.</t>
  </si>
  <si>
    <t xml:space="preserve">Elected ancillary subtotal</t>
  </si>
  <si>
    <t xml:space="preserve">Rates are estimates from the Questco ancillary comparison - final rates come from the salaries in payroll. Dental and vision are employee-paid and are not in this model.</t>
  </si>
  <si>
    <t xml:space="preserve">3.  PAYROLL TAXES   (Onyx owes these with or without a PEO - shown so the invoice reconciles, NOT as a cost of choosing Questco)</t>
  </si>
  <si>
    <t xml:space="preserve">Tax</t>
  </si>
  <si>
    <t xml:space="preserve">Quoted annual</t>
  </si>
  <si>
    <t xml:space="preserve">FICA - employer share</t>
  </si>
  <si>
    <t xml:space="preserve">Quoted figure exceeds 7.65% of $658,322 ($50,361.63) and does not appear to cap Social Security at the wage base. With Steven at $186,000 and Lisa at $178,094 it should be lower, not higher. Ask Questco what base was used.</t>
  </si>
  <si>
    <t xml:space="preserve">FUTA</t>
  </si>
  <si>
    <t xml:space="preserve">5 employees x $7,000 x 0.6%. Ties exactly.</t>
  </si>
  <si>
    <t xml:space="preserve">SUTA (Arizona)</t>
  </si>
  <si>
    <t xml:space="preserve">Confirm whether Arizona reporting is at client level or PEO level - it decides whether Onyx keeps its own experience rating on exit.</t>
  </si>
  <si>
    <t xml:space="preserve">Pass-through subtotal</t>
  </si>
  <si>
    <t xml:space="preserve">4.  WHAT THE FEE BUYS</t>
  </si>
  <si>
    <t xml:space="preserve">Category</t>
  </si>
  <si>
    <t xml:space="preserve">Included</t>
  </si>
  <si>
    <t xml:space="preserve">Relevance to Onyx</t>
  </si>
  <si>
    <t xml:space="preserve">Payroll administration</t>
  </si>
  <si>
    <t xml:space="preserve">Processing, direct deposit, garnishments, state and federal tax remittance, Forms 940/941, W-2/W-3, PTO tracking, ACA reporting, 20+ standard reports. Payroll runs 3 business days before payday and Onyx controls entry.</t>
  </si>
  <si>
    <t xml:space="preserve">Core. Replaces the payroll function outright.</t>
  </si>
  <si>
    <t xml:space="preserve">HR expertise and support</t>
  </si>
  <si>
    <t xml:space="preserve">Dedicated HR team, handbook and policy review, job descriptions, onboarding, employee relations, terminations, unemployment claims, EEOC, FMLA and FLSA compliance.</t>
  </si>
  <si>
    <t xml:space="preserve">High. Displaces the outside HR support Onyx pays for today.</t>
  </si>
  <si>
    <t xml:space="preserve">Benefits administration</t>
  </si>
  <si>
    <t xml:space="preserve">Enrollments, terminations, qualifying events, COBRA, Section 125 compliance, creditable coverage reporting, claims advocacy, and in-house invoice reconciliation for client-owned plans.</t>
  </si>
  <si>
    <t xml:space="preserve">High - and the reason Questco can administer the Angle plan.</t>
  </si>
  <si>
    <t xml:space="preserve">Self-funded plan filings</t>
  </si>
  <si>
    <t xml:space="preserve">PCORI fee calculation and Form 720; Forms 1094-B/1095-B.</t>
  </si>
  <si>
    <t xml:space="preserve">CRITICAL. Angle is level funded, so these are now Onyx's obligations. Confirm in writing that Questco covers them for the Angle plan by name.</t>
  </si>
  <si>
    <t xml:space="preserve">Workers' compensation</t>
  </si>
  <si>
    <t xml:space="preserve">Coverage at PEO rates, safety training and materials, claims handling.</t>
  </si>
  <si>
    <t xml:space="preserve">Medium. Office exposure is low, but the rate is still subject to underwriting.</t>
  </si>
  <si>
    <t xml:space="preserve">401(k)</t>
  </si>
  <si>
    <t xml:space="preserve">Large-group multiple employer plan, $3.00 per participating employee per quarter, no employer cost unless Onyx matches. Confirmed it does not require annual re-signature by Onyx.</t>
  </si>
  <si>
    <t xml:space="preserve">High. See the 401(k) tab - the match is the only part Onyx controls.</t>
  </si>
  <si>
    <t xml:space="preserve">$250,000 annual aggregate, $1,000 per-claim retention, $50,000 sub-limits, 24/7 incident hotline.</t>
  </si>
  <si>
    <t xml:space="preserve">Declined - Onyx is placing a standalone policy instead.</t>
  </si>
  <si>
    <t xml:space="preserve">CPEO status</t>
  </si>
  <si>
    <t xml:space="preserve">IRS-Certified Professional Employer Organization.</t>
  </si>
  <si>
    <t xml:space="preserve">High. It is what protects the payroll-tax wage bases from restarting on a mid-year start - worth roughly $5,600 given Steven's and Lisa's salaries. Confirm it.</t>
  </si>
  <si>
    <t xml:space="preserve">HR technology</t>
  </si>
  <si>
    <t xml:space="preserve">Employee self-service portal, mobile access, reporting and analytics.</t>
  </si>
  <si>
    <t xml:space="preserve">Medium.</t>
  </si>
  <si>
    <t xml:space="preserve">401(k) through Questco - match modelling</t>
  </si>
  <si>
    <t xml:space="preserve">Questco charges $3.00 per participating employee per quarter and nothing to Onyx unless Onyx chooses to match. A match is NOT required - see block 4. Everything below is a lever.</t>
  </si>
  <si>
    <t xml:space="preserve">EDIT THE YELLOW CELLS.</t>
  </si>
  <si>
    <t xml:space="preserve">1.  PLAN SETTINGS</t>
  </si>
  <si>
    <t xml:space="preserve">Setting</t>
  </si>
  <si>
    <t xml:space="preserve">Value</t>
  </si>
  <si>
    <t xml:space="preserve">Per / of pay</t>
  </si>
  <si>
    <t xml:space="preserve">Per-participant fee</t>
  </si>
  <si>
    <t xml:space="preserve">per quarter</t>
  </si>
  <si>
    <t xml:space="preserve">Questco's quoted fee - $12 a year per participant.</t>
  </si>
  <si>
    <t xml:space="preserve">Fee paid by</t>
  </si>
  <si>
    <t xml:space="preserve">Participant</t>
  </si>
  <si>
    <t xml:space="preserve">Set to Employer to have Onyx absorb it. Questco's statement is that Onyx pays nothing unless it matches, so Participant is the default - worth confirming.</t>
  </si>
  <si>
    <t xml:space="preserve">IRS compensation limit</t>
  </si>
  <si>
    <t xml:space="preserve">CONFIRM the current-year 401(a)(17) figure. Nobody here is close, so it does not bind.</t>
  </si>
  <si>
    <t xml:space="preserve">IRS elective deferral limit</t>
  </si>
  <si>
    <t xml:space="preserve">CONFIRM the current-year 402(g) figure. Not binding at the deferral rates below.</t>
  </si>
  <si>
    <t xml:space="preserve">Match type</t>
  </si>
  <si>
    <t xml:space="preserve">None</t>
  </si>
  <si>
    <t xml:space="preserve">None, Tiered match, or Non-elective. Defaults to None because nothing has been committed. Block 3 prices all three at once.</t>
  </si>
  <si>
    <t xml:space="preserve">Tier 1 - match rate</t>
  </si>
  <si>
    <t xml:space="preserve">Match 100% of the first 3% of pay deferred. With Tier 2 this is the safe harbor basic formula.</t>
  </si>
  <si>
    <t xml:space="preserve">Tier 2 - match rate</t>
  </si>
  <si>
    <t xml:space="preserve">Match 50% of the next 2% of pay. Anyone deferring 5% or more earns the full 4% of pay.</t>
  </si>
  <si>
    <t xml:space="preserve">Non-elective rate</t>
  </si>
  <si>
    <t xml:space="preserve">Used only when Match type is Non-elective. 3% of pay to every participating employee, whether or not they defer.</t>
  </si>
  <si>
    <t xml:space="preserve">2.  WHO PARTICIPATES AND WHAT THEY DEFER</t>
  </si>
  <si>
    <t xml:space="preserve">Eligible pay</t>
  </si>
  <si>
    <t xml:space="preserve">Participating?</t>
  </si>
  <si>
    <t xml:space="preserve">Deferral % of pay</t>
  </si>
  <si>
    <t xml:space="preserve">Employee deferral $/yr</t>
  </si>
  <si>
    <t xml:space="preserve">Onyx match $/yr (selected type)</t>
  </si>
  <si>
    <t xml:space="preserve">Match as % of pay</t>
  </si>
  <si>
    <t xml:space="preserve">Participant fee $/yr</t>
  </si>
  <si>
    <t xml:space="preserve">IF safe harbor match</t>
  </si>
  <si>
    <t xml:space="preserve">IF 3% non-elective</t>
  </si>
  <si>
    <t xml:space="preserve">Deferral rates default to 6%, which fully earns the safe harbor basic match. Nobody has elected anything yet - this is an assumption, and it is what drives the two right-hand columns.</t>
  </si>
  <si>
    <t xml:space="preserve">3.  THE THREE OPTIONS, PRICED SIDE BY SIDE</t>
  </si>
  <si>
    <t xml:space="preserve">Option</t>
  </si>
  <si>
    <t xml:space="preserve">Onyx cost $/yr</t>
  </si>
  <si>
    <t xml:space="preserve">Onyx cost $/mo</t>
  </si>
  <si>
    <t xml:space="preserve">What it buys</t>
  </si>
  <si>
    <t xml:space="preserve">No employer contribution</t>
  </si>
  <si>
    <t xml:space="preserve">Cheapest. But the plan is then subject to nondiscrimination testing every year, and once it becomes top-heavy Onyx owes the minimum anyway.</t>
  </si>
  <si>
    <t xml:space="preserve">Safe harbor basic match (100% of first 3%, 50% of next 2%)</t>
  </si>
  <si>
    <t xml:space="preserve">Exempts the plan from nondiscrimination testing and, on its own, from the top-heavy minimum. Only the people who defer receive it.</t>
  </si>
  <si>
    <t xml:space="preserve">Safe harbor 3% non-elective</t>
  </si>
  <si>
    <t xml:space="preserve">Same exemptions. Goes to every participating employee whether or not they defer, so it costs Onyx money for non-savers.</t>
  </si>
  <si>
    <t xml:space="preserve">4.  WHAT ONYX IS ACTUALLY COSTED AT, GIVEN THE MATCH TYPE ABOVE</t>
  </si>
  <si>
    <t xml:space="preserve">Line</t>
  </si>
  <si>
    <t xml:space="preserve">Employer match / non-elective</t>
  </si>
  <si>
    <t xml:space="preserve">Deductible to Onyx. Unlike health premiums, a contribution for Steven as a &gt;2% S-corp shareholder is a normal deductible plan contribution, not W-2 wages.</t>
  </si>
  <si>
    <t xml:space="preserve">Participant fees absorbed by Onyx</t>
  </si>
  <si>
    <t xml:space="preserve">Zero while the fee sits on participants.</t>
  </si>
  <si>
    <t xml:space="preserve">ONYX 401(k) COST</t>
  </si>
  <si>
    <t xml:space="preserve">5.  IS A MATCH REQUIRED?   No - but read this before choosing None</t>
  </si>
  <si>
    <t xml:space="preserve">•  NO LAW REQUIRES AN EMPLOYER MATCH. A 401(k) can be deferral-only, funded entirely by employees. Questco's fee does not change either way.</t>
  </si>
  <si>
    <t xml:space="preserve">•  Two testing rules can still force money in. Nondiscrimination testing compares what the highly compensated defer against what everyone else defers; if the gap is too wide, the highly compensated get deferrals refunded. Steven is highly compensated by ownership and Lisa very likely by pay, so two of five would sit on that side of the test. (The IRS calls these the ADP and ACP tests - an actuarial term that has nothing to do with the payroll company of the same initials.)</t>
  </si>
  <si>
    <t xml:space="preserve">•  Top-heavy: when key employees hold more than 60% of plan assets, the employer owes a minimum contribution of up to 3% of pay to every non-key employee. With Steven owning 100% this plan is likely to go top-heavy - though usually not in year one, since the test looks at the prior year end and a new plan starts at zero.</t>
  </si>
  <si>
    <t xml:space="preserve">•  A safe harbor design - the basic match or the 3% non-elective - buys exemption from nondiscrimination testing, and from the top-heavy minimum when the safe harbor contribution is the only employer money in the plan. That is the real trade: a known, capped cost instead of an uncertain one.</t>
  </si>
  <si>
    <t xml:space="preserve">•  So the practical choice is not match or no match. It is: accept testing and a probable top-heavy bill later, or take a safe harbor now and know the number. Block 3 prices both safe harbor routes.</t>
  </si>
  <si>
    <t xml:space="preserve">•  Confirm the current-year compensation, deferral and highly-compensated thresholds, and the top-heavy position, with the plan's third-party administrator before adopting.</t>
  </si>
  <si>
    <t xml:space="preserve">•  Ask Questco whether an adopting employer in their multiple employer plan still claims the SECURE 2.0 start-up credits - up to $5,000/yr for three years plus $500/yr for auto-enrolment. Still unanswered.</t>
  </si>
  <si>
    <t xml:space="preserve">Angle + Questco - monthly and annual projection</t>
  </si>
  <si>
    <t xml:space="preserve">Everything here recalculates from the Contributions, Questco and 401(k) tabs. Pick a plan below to drive the first two blocks.</t>
  </si>
  <si>
    <t xml:space="preserve">SELECTED ANGLE PLAN</t>
  </si>
  <si>
    <t xml:space="preserve">1.  WHAT ONYX PAYS</t>
  </si>
  <si>
    <t xml:space="preserve">Vendor</t>
  </si>
  <si>
    <t xml:space="preserve">Medical - employer contribution</t>
  </si>
  <si>
    <t xml:space="preserve">Angle / CapFi</t>
  </si>
  <si>
    <t xml:space="preserve">Fixed dollars per tier. Does not move when an employee changes plans.</t>
  </si>
  <si>
    <t xml:space="preserve">Questco</t>
  </si>
  <si>
    <t xml:space="preserve">$117 per employee per month.</t>
  </si>
  <si>
    <t xml:space="preserve">Workers' comp + EPLI</t>
  </si>
  <si>
    <t xml:space="preserve">Subject to underwriting.</t>
  </si>
  <si>
    <t xml:space="preserve">Zero while it is set to No on the Questco tab. Onyx is placing this separately.</t>
  </si>
  <si>
    <t xml:space="preserve">Employer-paid ancillary</t>
  </si>
  <si>
    <t xml:space="preserve">Life, LTD and STD as elected on the Questco tab.</t>
  </si>
  <si>
    <t xml:space="preserve">401(k) - employer cost</t>
  </si>
  <si>
    <t xml:space="preserve">Match, plus participant fees only if Onyx absorbs them. Set the formula on the 401(k) tab.</t>
  </si>
  <si>
    <t xml:space="preserve">ONYX RECURRING TOTAL</t>
  </si>
  <si>
    <t xml:space="preserve">Implementation (first year only)</t>
  </si>
  <si>
    <t xml:space="preserve">ONYX FIRST-YEAR TOTAL</t>
  </si>
  <si>
    <t xml:space="preserve">The 401(k) line is a MODELLED match, not a committed cost. At the default settings - safe harbor basic, everyone deferring 6% - it is the largest line on this page after medical. Set Match type to None on the 401(k) tab to see Onyx's cost without a match.</t>
  </si>
  <si>
    <t xml:space="preserve">Payroll taxes of about $52,176 a year are NOT in this total. Onyx owes FICA, FUTA and SUTA whether or not there is a PEO, so they are a pass-through on the Questco invoice rather than a cost of the relationship. They are itemised on the Questco tab.</t>
  </si>
  <si>
    <t xml:space="preserve">2.  WHAT THE EMPLOYEES PAY, AND THE COMBINED PICTURE</t>
  </si>
  <si>
    <t xml:space="preserve">Employee medical deductions, all enrolled</t>
  </si>
  <si>
    <t xml:space="preserve">Premium only. Pretax for everyone except Steven.</t>
  </si>
  <si>
    <t xml:space="preserve">Employee 401(k) deferrals</t>
  </si>
  <si>
    <t xml:space="preserve">Their own savings, not a cost - shown so the payroll picture is complete.</t>
  </si>
  <si>
    <t xml:space="preserve">Employee 401(k) fees</t>
  </si>
  <si>
    <t xml:space="preserve">$3 per quarter each while the fee sits on participants.</t>
  </si>
  <si>
    <t xml:space="preserve">Onyx + employees, medical premium only</t>
  </si>
  <si>
    <t xml:space="preserve">The true cost of the Angle plan itself, both sides.</t>
  </si>
  <si>
    <t xml:space="preserve">Onyx + employees, all in</t>
  </si>
  <si>
    <t xml:space="preserve">Adds the Questco fee, elected ancillary, the 401(k) and the participant fees.</t>
  </si>
  <si>
    <t xml:space="preserve">Combined worst case, one bad year</t>
  </si>
  <si>
    <t xml:space="preserve">Assumes every enrolled household hits its out-of-pocket maximum in the same year. A ceiling, not a forecast.</t>
  </si>
  <si>
    <t xml:space="preserve">3.  ALL THREE PLANS SIDE BY SIDE   (annual, at the current settings)</t>
  </si>
  <si>
    <t xml:space="preserve">Angle plan</t>
  </si>
  <si>
    <t xml:space="preserve">Onyx - medical</t>
  </si>
  <si>
    <t xml:space="preserve">Onyx - all in</t>
  </si>
  <si>
    <t xml:space="preserve">Employee medical</t>
  </si>
  <si>
    <t xml:space="preserve">Onyx + employees</t>
  </si>
  <si>
    <t xml:space="preserve">Combined worst case</t>
  </si>
  <si>
    <t xml:space="preserve">Onyx's medical column is the same across all three plans because the contribution is a fixed dollar amount and Angle's minimum funding never binds at these settings. A richer plan costs Onyx nothing extra and costs the employee the whole difference. Lower the contribution far enough on the Contributions tab and the minimum starts to bind - the check column there says so.</t>
  </si>
  <si>
    <t xml:space="preserve">Angle offers no dental or vision. Questco quotes both as employee-paid, so neither appears in Onyx's cost here.</t>
  </si>
</sst>
</file>

<file path=xl/styles.xml><?xml version="1.0" encoding="utf-8"?>
<styleSheet xmlns="http://schemas.openxmlformats.org/spreadsheetml/2006/main">
  <numFmts count="6">
    <numFmt numFmtId="164" formatCode="General"/>
    <numFmt numFmtId="165" formatCode="\$#,##0.00;&quot;($&quot;#,##0.00\);\-"/>
    <numFmt numFmtId="166" formatCode="\$#,##0;&quot;($&quot;#,##0\);\-"/>
    <numFmt numFmtId="167" formatCode="0.0%"/>
    <numFmt numFmtId="168" formatCode="General"/>
    <numFmt numFmtId="169" formatCode="0%"/>
  </numFmts>
  <fonts count="17">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9"/>
      <color rgb="FF595959"/>
      <name val="Arial"/>
      <family val="0"/>
      <charset val="1"/>
    </font>
    <font>
      <b val="true"/>
      <sz val="10"/>
      <color rgb="FF8E2F2A"/>
      <name val="Arial"/>
      <family val="0"/>
      <charset val="1"/>
    </font>
    <font>
      <b val="true"/>
      <sz val="11"/>
      <color rgb="FF1D5B72"/>
      <name val="Arial"/>
      <family val="0"/>
      <charset val="1"/>
    </font>
    <font>
      <b val="true"/>
      <sz val="9"/>
      <color rgb="FFFFFFFF"/>
      <name val="Arial"/>
      <family val="0"/>
      <charset val="1"/>
    </font>
    <font>
      <sz val="10"/>
      <name val="Arial"/>
      <family val="0"/>
      <charset val="1"/>
    </font>
    <font>
      <b val="true"/>
      <sz val="10"/>
      <color rgb="FF0000FF"/>
      <name val="Arial"/>
      <family val="0"/>
      <charset val="1"/>
    </font>
    <font>
      <sz val="10"/>
      <color rgb="FF008000"/>
      <name val="Arial"/>
      <family val="0"/>
      <charset val="1"/>
    </font>
    <font>
      <b val="true"/>
      <sz val="10"/>
      <name val="Arial"/>
      <family val="0"/>
      <charset val="1"/>
    </font>
    <font>
      <sz val="10"/>
      <color rgb="FF0000FF"/>
      <name val="Arial"/>
      <family val="0"/>
      <charset val="1"/>
    </font>
    <font>
      <sz val="9"/>
      <color rgb="FF404040"/>
      <name val="Arial"/>
      <family val="0"/>
      <charset val="1"/>
    </font>
    <font>
      <b val="true"/>
      <sz val="10"/>
      <color rgb="FF008000"/>
      <name val="Arial"/>
      <family val="0"/>
      <charset val="1"/>
    </font>
    <font>
      <b val="true"/>
      <i val="true"/>
      <sz val="9"/>
      <color rgb="FF8E2F2A"/>
      <name val="Arial"/>
      <family val="0"/>
      <charset val="1"/>
    </font>
  </fonts>
  <fills count="6">
    <fill>
      <patternFill patternType="none"/>
    </fill>
    <fill>
      <patternFill patternType="gray125"/>
    </fill>
    <fill>
      <patternFill patternType="solid">
        <fgColor rgb="FF1D5B72"/>
        <bgColor rgb="FF404040"/>
      </patternFill>
    </fill>
    <fill>
      <patternFill patternType="solid">
        <fgColor rgb="FFFFFF00"/>
        <bgColor rgb="FFFFFF00"/>
      </patternFill>
    </fill>
    <fill>
      <patternFill patternType="solid">
        <fgColor rgb="FFE4E9EA"/>
        <bgColor rgb="FFEFF3F5"/>
      </patternFill>
    </fill>
    <fill>
      <patternFill patternType="solid">
        <fgColor rgb="FFEFF3F5"/>
        <bgColor rgb="FFE4E9EA"/>
      </patternFill>
    </fill>
  </fills>
  <borders count="3">
    <border diagonalUp="false" diagonalDown="false">
      <left/>
      <right/>
      <top/>
      <bottom/>
      <diagonal/>
    </border>
    <border diagonalUp="false" diagonalDown="false">
      <left/>
      <right/>
      <top/>
      <bottom style="thin">
        <color rgb="FF1D5B72"/>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5" fontId="10" fillId="3"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7" fontId="10" fillId="3"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5" fontId="12" fillId="0" borderId="2" xfId="0" applyFont="true" applyBorder="true" applyAlignment="false" applyProtection="false">
      <alignment horizontal="general" vertical="bottom" textRotation="0" wrapText="false" indent="0" shrinkToFit="false"/>
      <protection locked="true" hidden="false"/>
    </xf>
    <xf numFmtId="166" fontId="13" fillId="0"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center" vertical="bottom" textRotation="0" wrapText="false" indent="0" shrinkToFit="false"/>
      <protection locked="true" hidden="false"/>
    </xf>
    <xf numFmtId="164" fontId="10" fillId="3"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4" fontId="12"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8" fontId="12" fillId="4" borderId="2" xfId="0" applyFont="true" applyBorder="true" applyAlignment="true" applyProtection="false">
      <alignment horizontal="center" vertical="bottom" textRotation="0" wrapText="false" indent="0" shrinkToFit="false"/>
      <protection locked="true" hidden="false"/>
    </xf>
    <xf numFmtId="165" fontId="12" fillId="4" borderId="2" xfId="0" applyFont="true" applyBorder="true" applyAlignment="false" applyProtection="false">
      <alignment horizontal="general" vertical="bottom" textRotation="0" wrapText="false" indent="0" shrinkToFit="false"/>
      <protection locked="true" hidden="false"/>
    </xf>
    <xf numFmtId="166" fontId="12" fillId="4"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9" fontId="13" fillId="0" borderId="2" xfId="0" applyFont="true" applyBorder="true" applyAlignment="true" applyProtection="false">
      <alignment horizontal="center"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4" fontId="13" fillId="5" borderId="2" xfId="0" applyFont="true" applyBorder="true" applyAlignment="false" applyProtection="false">
      <alignment horizontal="general" vertical="bottom" textRotation="0" wrapText="false" indent="0" shrinkToFit="false"/>
      <protection locked="true" hidden="false"/>
    </xf>
    <xf numFmtId="164" fontId="13" fillId="5" borderId="2" xfId="0" applyFont="true" applyBorder="true" applyAlignment="true" applyProtection="false">
      <alignment horizontal="center" vertical="bottom" textRotation="0" wrapText="false" indent="0" shrinkToFit="false"/>
      <protection locked="true" hidden="false"/>
    </xf>
    <xf numFmtId="166" fontId="13" fillId="5" borderId="2" xfId="0" applyFont="true" applyBorder="true" applyAlignment="false" applyProtection="false">
      <alignment horizontal="general" vertical="bottom" textRotation="0" wrapText="false" indent="0" shrinkToFit="false"/>
      <protection locked="true" hidden="false"/>
    </xf>
    <xf numFmtId="169" fontId="13" fillId="5" borderId="2" xfId="0" applyFont="true" applyBorder="true" applyAlignment="true" applyProtection="false">
      <alignment horizontal="center" vertical="bottom" textRotation="0" wrapText="false" indent="0" shrinkToFit="false"/>
      <protection locked="true" hidden="false"/>
    </xf>
    <xf numFmtId="165" fontId="13" fillId="5" borderId="2" xfId="0" applyFont="true" applyBorder="true" applyAlignment="false" applyProtection="false">
      <alignment horizontal="general" vertical="bottom" textRotation="0" wrapText="false" indent="0" shrinkToFit="false"/>
      <protection locked="true" hidden="false"/>
    </xf>
    <xf numFmtId="164" fontId="14" fillId="5" borderId="2" xfId="0" applyFont="true" applyBorder="true" applyAlignment="true" applyProtection="false">
      <alignment horizontal="general" vertical="top" textRotation="0" wrapText="true" indent="0" shrinkToFit="false"/>
      <protection locked="true" hidden="false"/>
    </xf>
    <xf numFmtId="164" fontId="8" fillId="2"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true" applyProtection="false">
      <alignment horizontal="center" vertical="bottom" textRotation="0" wrapText="false" indent="0" shrinkToFit="false"/>
      <protection locked="true" hidden="false"/>
    </xf>
    <xf numFmtId="165" fontId="11" fillId="5" borderId="2" xfId="0" applyFont="true" applyBorder="true" applyAlignment="false" applyProtection="false">
      <alignment horizontal="general" vertical="bottom" textRotation="0" wrapText="false" indent="0" shrinkToFit="false"/>
      <protection locked="true" hidden="false"/>
    </xf>
    <xf numFmtId="165" fontId="9" fillId="5" borderId="2" xfId="0" applyFont="true" applyBorder="true" applyAlignment="false" applyProtection="false">
      <alignment horizontal="general" vertical="bottom" textRotation="0" wrapText="false" indent="0" shrinkToFit="false"/>
      <protection locked="true" hidden="false"/>
    </xf>
    <xf numFmtId="167" fontId="9" fillId="5" borderId="2" xfId="0" applyFont="true" applyBorder="true" applyAlignment="false" applyProtection="false">
      <alignment horizontal="general" vertical="bottom" textRotation="0" wrapText="false" indent="0" shrinkToFit="false"/>
      <protection locked="true" hidden="false"/>
    </xf>
    <xf numFmtId="166" fontId="9" fillId="5" borderId="2" xfId="0" applyFont="true" applyBorder="true" applyAlignment="false" applyProtection="false">
      <alignment horizontal="general" vertical="bottom" textRotation="0" wrapText="false" indent="0" shrinkToFit="false"/>
      <protection locked="true" hidden="false"/>
    </xf>
    <xf numFmtId="166" fontId="11" fillId="5" borderId="2" xfId="0" applyFont="true" applyBorder="true" applyAlignment="false" applyProtection="false">
      <alignment horizontal="general" vertical="bottom" textRotation="0" wrapText="false" indent="0" shrinkToFit="false"/>
      <protection locked="true" hidden="false"/>
    </xf>
    <xf numFmtId="166" fontId="12" fillId="5" borderId="2"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center" vertical="bottom" textRotation="0" wrapText="false" indent="0" shrinkToFit="false"/>
      <protection locked="true" hidden="false"/>
    </xf>
    <xf numFmtId="166" fontId="15" fillId="0" borderId="2" xfId="0" applyFont="true" applyBorder="true" applyAlignment="false" applyProtection="false">
      <alignment horizontal="general" vertical="bottom" textRotation="0" wrapText="false" indent="0" shrinkToFit="false"/>
      <protection locked="true" hidden="false"/>
    </xf>
    <xf numFmtId="164" fontId="11" fillId="5" borderId="2" xfId="0" applyFont="true" applyBorder="true" applyAlignment="true" applyProtection="false">
      <alignment horizontal="center" vertical="bottom" textRotation="0" wrapText="false" indent="0" shrinkToFit="false"/>
      <protection locked="true" hidden="false"/>
    </xf>
    <xf numFmtId="166" fontId="15" fillId="5"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66" fontId="10" fillId="3" borderId="2" xfId="0" applyFont="true" applyBorder="true" applyAlignment="false" applyProtection="false">
      <alignment horizontal="general" vertical="bottom" textRotation="0" wrapText="false" indent="0"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false" applyProtection="false">
      <alignment horizontal="general" vertical="bottom" textRotation="0" wrapText="false" indent="0" shrinkToFit="false"/>
      <protection locked="true" hidden="false"/>
    </xf>
    <xf numFmtId="167" fontId="12" fillId="4"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D5B72"/>
          <bgColor rgb="FF000000"/>
        </patternFill>
      </fill>
    </dxf>
    <dxf>
      <fill>
        <patternFill patternType="solid">
          <fgColor rgb="FFEFF3F5"/>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5B72"/>
      <rgbColor rgb="FFBFBFBF"/>
      <rgbColor rgb="FF808080"/>
      <rgbColor rgb="FF9999FF"/>
      <rgbColor rgb="FF993366"/>
      <rgbColor rgb="FFEFF3F5"/>
      <rgbColor rgb="FFE4E9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8E2F2A"/>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4" min="3" style="0" width="17"/>
    <col collapsed="false" customWidth="true" hidden="false" outlineLevel="0" max="5" min="5" style="0" width="22"/>
    <col collapsed="false" customWidth="true" hidden="false" outlineLevel="0" max="6" min="6" style="0" width="62"/>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5"/>
      <c r="C5" s="5"/>
      <c r="D5" s="5"/>
      <c r="E5" s="5"/>
      <c r="F5" s="5"/>
      <c r="G5" s="5"/>
      <c r="H5" s="5"/>
    </row>
    <row r="6" customFormat="false" ht="30" hidden="false" customHeight="true" outlineLevel="0" collapsed="false">
      <c r="A6" s="6" t="s">
        <v>4</v>
      </c>
      <c r="B6" s="6" t="s">
        <v>5</v>
      </c>
      <c r="C6" s="6" t="s">
        <v>6</v>
      </c>
      <c r="D6" s="6" t="s">
        <v>7</v>
      </c>
      <c r="E6" s="6" t="s">
        <v>8</v>
      </c>
      <c r="F6" s="6" t="s">
        <v>9</v>
      </c>
    </row>
    <row r="7" customFormat="false" ht="15" hidden="false" customHeight="false" outlineLevel="0" collapsed="false">
      <c r="A7" s="7" t="s">
        <v>10</v>
      </c>
      <c r="B7" s="8" t="s">
        <v>11</v>
      </c>
      <c r="C7" s="9" t="n">
        <v>300</v>
      </c>
      <c r="D7" s="10" t="n">
        <f aca="false">C7*12</f>
        <v>3600</v>
      </c>
      <c r="E7" s="11" t="n">
        <f aca="false">$C$16</f>
        <v>219.515</v>
      </c>
      <c r="F7" s="8" t="str">
        <f aca="false">IF(C7&gt;=E7,"Yes","NO - below Angle minimum")</f>
        <v>Yes</v>
      </c>
    </row>
    <row r="8" customFormat="false" ht="15" hidden="false" customHeight="false" outlineLevel="0" collapsed="false">
      <c r="A8" s="7" t="s">
        <v>12</v>
      </c>
      <c r="B8" s="8" t="s">
        <v>13</v>
      </c>
      <c r="C8" s="9" t="n">
        <v>600</v>
      </c>
      <c r="D8" s="10" t="n">
        <f aca="false">C8*12</f>
        <v>7200</v>
      </c>
      <c r="E8" s="11" t="n">
        <f aca="false">$C$16</f>
        <v>219.515</v>
      </c>
      <c r="F8" s="8" t="str">
        <f aca="false">IF(C8&gt;=E8,"Yes","NO - below Angle minimum")</f>
        <v>Yes</v>
      </c>
    </row>
    <row r="9" customFormat="false" ht="15" hidden="false" customHeight="false" outlineLevel="0" collapsed="false">
      <c r="A9" s="7" t="s">
        <v>14</v>
      </c>
      <c r="B9" s="8" t="s">
        <v>15</v>
      </c>
      <c r="C9" s="9" t="n">
        <v>600</v>
      </c>
      <c r="D9" s="10" t="n">
        <f aca="false">C9*12</f>
        <v>7200</v>
      </c>
      <c r="E9" s="11" t="n">
        <f aca="false">$C$16</f>
        <v>219.515</v>
      </c>
      <c r="F9" s="8" t="str">
        <f aca="false">IF(C9&gt;=E9,"Yes","NO - below Angle minimum")</f>
        <v>Yes</v>
      </c>
    </row>
    <row r="10" customFormat="false" ht="15" hidden="false" customHeight="false" outlineLevel="0" collapsed="false">
      <c r="A10" s="7" t="s">
        <v>16</v>
      </c>
      <c r="B10" s="8" t="s">
        <v>17</v>
      </c>
      <c r="C10" s="9" t="n">
        <v>1000</v>
      </c>
      <c r="D10" s="10" t="n">
        <f aca="false">C10*12</f>
        <v>12000</v>
      </c>
      <c r="E10" s="11" t="n">
        <f aca="false">$C$16</f>
        <v>219.515</v>
      </c>
      <c r="F10" s="8" t="str">
        <f aca="false">IF(C10&gt;=E10,"Yes","NO - below Angle minimum")</f>
        <v>Yes</v>
      </c>
    </row>
    <row r="12" customFormat="false" ht="15" hidden="false" customHeight="false" outlineLevel="0" collapsed="false">
      <c r="A12" s="2" t="s">
        <v>18</v>
      </c>
    </row>
    <row r="14" customFormat="false" ht="15" hidden="false" customHeight="false" outlineLevel="0" collapsed="false">
      <c r="A14" s="4" t="s">
        <v>19</v>
      </c>
      <c r="B14" s="5"/>
      <c r="C14" s="5"/>
      <c r="D14" s="5"/>
      <c r="E14" s="5"/>
      <c r="F14" s="5"/>
      <c r="G14" s="5"/>
      <c r="H14" s="5"/>
    </row>
    <row r="15" customFormat="false" ht="15" hidden="false" customHeight="false" outlineLevel="0" collapsed="false">
      <c r="A15" s="7" t="s">
        <v>20</v>
      </c>
      <c r="B15" s="12"/>
      <c r="C15" s="13" t="n">
        <v>0.5</v>
      </c>
    </row>
    <row r="16" customFormat="false" ht="15" hidden="false" customHeight="false" outlineLevel="0" collapsed="false">
      <c r="A16" s="14" t="s">
        <v>21</v>
      </c>
      <c r="B16" s="12"/>
      <c r="C16" s="15" t="n">
        <f aca="false">C15*MIN('Angle Plans'!L5:L7)</f>
        <v>219.515</v>
      </c>
    </row>
    <row r="17" customFormat="false" ht="15" hidden="false" customHeight="false" outlineLevel="0" collapsed="false">
      <c r="A17" s="7" t="s">
        <v>22</v>
      </c>
      <c r="B17" s="12"/>
      <c r="C17" s="10" t="n">
        <f aca="false">C16*C34*12</f>
        <v>10536.72</v>
      </c>
    </row>
    <row r="18" customFormat="false" ht="15" hidden="false" customHeight="false" outlineLevel="0" collapsed="false">
      <c r="A18" s="2" t="s">
        <v>23</v>
      </c>
    </row>
    <row r="20" customFormat="false" ht="15" hidden="false" customHeight="false" outlineLevel="0" collapsed="false">
      <c r="A20" s="4" t="s">
        <v>24</v>
      </c>
      <c r="B20" s="5"/>
      <c r="C20" s="5"/>
      <c r="D20" s="5"/>
      <c r="E20" s="5"/>
      <c r="F20" s="5"/>
      <c r="G20" s="5"/>
      <c r="H20" s="5"/>
    </row>
    <row r="21" customFormat="false" ht="30" hidden="false" customHeight="true" outlineLevel="0" collapsed="false">
      <c r="A21" s="6" t="s">
        <v>25</v>
      </c>
      <c r="B21" s="6" t="s">
        <v>26</v>
      </c>
      <c r="C21" s="6" t="s">
        <v>27</v>
      </c>
      <c r="D21" s="6" t="s">
        <v>5</v>
      </c>
      <c r="E21" s="6" t="s">
        <v>28</v>
      </c>
      <c r="F21" s="6" t="s">
        <v>29</v>
      </c>
    </row>
    <row r="22" customFormat="false" ht="25.5" hidden="false" customHeight="true" outlineLevel="0" collapsed="false">
      <c r="A22" s="7" t="s">
        <v>30</v>
      </c>
      <c r="B22" s="16" t="n">
        <v>186000</v>
      </c>
      <c r="C22" s="7" t="s">
        <v>16</v>
      </c>
      <c r="D22" s="17" t="s">
        <v>17</v>
      </c>
      <c r="E22" s="18" t="s">
        <v>31</v>
      </c>
      <c r="F22" s="19" t="s">
        <v>32</v>
      </c>
    </row>
    <row r="23" customFormat="false" ht="25.5" hidden="false" customHeight="true" outlineLevel="0" collapsed="false">
      <c r="A23" s="7" t="s">
        <v>33</v>
      </c>
      <c r="B23" s="16" t="n">
        <v>178094</v>
      </c>
      <c r="C23" s="7" t="s">
        <v>10</v>
      </c>
      <c r="D23" s="17" t="s">
        <v>11</v>
      </c>
      <c r="E23" s="18" t="s">
        <v>31</v>
      </c>
      <c r="F23" s="19"/>
    </row>
    <row r="24" customFormat="false" ht="25.5" hidden="false" customHeight="true" outlineLevel="0" collapsed="false">
      <c r="A24" s="7" t="s">
        <v>34</v>
      </c>
      <c r="B24" s="16" t="n">
        <v>135000</v>
      </c>
      <c r="C24" s="7" t="s">
        <v>16</v>
      </c>
      <c r="D24" s="17" t="s">
        <v>17</v>
      </c>
      <c r="E24" s="18" t="s">
        <v>31</v>
      </c>
      <c r="F24" s="19" t="s">
        <v>35</v>
      </c>
    </row>
    <row r="25" customFormat="false" ht="25.5" hidden="false" customHeight="true" outlineLevel="0" collapsed="false">
      <c r="A25" s="7" t="s">
        <v>36</v>
      </c>
      <c r="B25" s="16" t="n">
        <v>79228</v>
      </c>
      <c r="C25" s="7" t="s">
        <v>12</v>
      </c>
      <c r="D25" s="17" t="s">
        <v>13</v>
      </c>
      <c r="E25" s="18" t="s">
        <v>31</v>
      </c>
      <c r="F25" s="19" t="s">
        <v>37</v>
      </c>
    </row>
    <row r="26" customFormat="false" ht="25.5" hidden="false" customHeight="true" outlineLevel="0" collapsed="false">
      <c r="A26" s="7" t="s">
        <v>38</v>
      </c>
      <c r="B26" s="16" t="n">
        <v>80000</v>
      </c>
      <c r="C26" s="7" t="s">
        <v>16</v>
      </c>
      <c r="D26" s="17" t="s">
        <v>17</v>
      </c>
      <c r="E26" s="18" t="s">
        <v>39</v>
      </c>
      <c r="F26" s="19" t="s">
        <v>40</v>
      </c>
    </row>
    <row r="28" customFormat="false" ht="15" hidden="false" customHeight="false" outlineLevel="0" collapsed="false">
      <c r="A28" s="4" t="s">
        <v>41</v>
      </c>
      <c r="B28" s="5"/>
      <c r="C28" s="5"/>
      <c r="D28" s="5"/>
      <c r="E28" s="5"/>
      <c r="F28" s="5"/>
      <c r="G28" s="5"/>
      <c r="H28" s="5"/>
    </row>
    <row r="29" customFormat="false" ht="30" hidden="false" customHeight="true" outlineLevel="0" collapsed="false">
      <c r="A29" s="6" t="s">
        <v>4</v>
      </c>
      <c r="B29" s="6" t="s">
        <v>5</v>
      </c>
      <c r="C29" s="6" t="s">
        <v>42</v>
      </c>
      <c r="D29" s="6" t="s">
        <v>43</v>
      </c>
      <c r="E29" s="6" t="s">
        <v>44</v>
      </c>
    </row>
    <row r="30" customFormat="false" ht="15" hidden="false" customHeight="false" outlineLevel="0" collapsed="false">
      <c r="A30" s="7" t="s">
        <v>10</v>
      </c>
      <c r="B30" s="8" t="s">
        <v>11</v>
      </c>
      <c r="C30" s="8" t="n">
        <f aca="false">COUNTIFS($D$22:$D$26,B30,$E$22:$E$26,"Yes")</f>
        <v>1</v>
      </c>
      <c r="D30" s="20" t="n">
        <f aca="false">C30*INDEX($C$7:$C$10,MATCH(B30,$B$7:$B$10,0))</f>
        <v>300</v>
      </c>
      <c r="E30" s="10" t="n">
        <f aca="false">D30*12</f>
        <v>3600</v>
      </c>
    </row>
    <row r="31" customFormat="false" ht="15" hidden="false" customHeight="false" outlineLevel="0" collapsed="false">
      <c r="A31" s="7" t="s">
        <v>12</v>
      </c>
      <c r="B31" s="8" t="s">
        <v>13</v>
      </c>
      <c r="C31" s="8" t="n">
        <f aca="false">COUNTIFS($D$22:$D$26,B31,$E$22:$E$26,"Yes")</f>
        <v>1</v>
      </c>
      <c r="D31" s="20" t="n">
        <f aca="false">C31*INDEX($C$7:$C$10,MATCH(B31,$B$7:$B$10,0))</f>
        <v>600</v>
      </c>
      <c r="E31" s="10" t="n">
        <f aca="false">D31*12</f>
        <v>7200</v>
      </c>
    </row>
    <row r="32" customFormat="false" ht="15" hidden="false" customHeight="false" outlineLevel="0" collapsed="false">
      <c r="A32" s="7" t="s">
        <v>14</v>
      </c>
      <c r="B32" s="8" t="s">
        <v>15</v>
      </c>
      <c r="C32" s="8" t="n">
        <f aca="false">COUNTIFS($D$22:$D$26,B32,$E$22:$E$26,"Yes")</f>
        <v>0</v>
      </c>
      <c r="D32" s="20" t="n">
        <f aca="false">C32*INDEX($C$7:$C$10,MATCH(B32,$B$7:$B$10,0))</f>
        <v>0</v>
      </c>
      <c r="E32" s="10" t="n">
        <f aca="false">D32*12</f>
        <v>0</v>
      </c>
    </row>
    <row r="33" customFormat="false" ht="15" hidden="false" customHeight="false" outlineLevel="0" collapsed="false">
      <c r="A33" s="7" t="s">
        <v>16</v>
      </c>
      <c r="B33" s="8" t="s">
        <v>17</v>
      </c>
      <c r="C33" s="8" t="n">
        <f aca="false">COUNTIFS($D$22:$D$26,B33,$E$22:$E$26,"Yes")</f>
        <v>2</v>
      </c>
      <c r="D33" s="20" t="n">
        <f aca="false">C33*INDEX($C$7:$C$10,MATCH(B33,$B$7:$B$10,0))</f>
        <v>2000</v>
      </c>
      <c r="E33" s="10" t="n">
        <f aca="false">D33*12</f>
        <v>24000</v>
      </c>
    </row>
    <row r="34" customFormat="false" ht="15" hidden="false" customHeight="false" outlineLevel="0" collapsed="false">
      <c r="A34" s="21" t="s">
        <v>45</v>
      </c>
      <c r="B34" s="22"/>
      <c r="C34" s="23" t="n">
        <f aca="false">SUM(C30:C33)</f>
        <v>4</v>
      </c>
      <c r="D34" s="24" t="n">
        <f aca="false">SUM(D30:D33)</f>
        <v>2900</v>
      </c>
      <c r="E34" s="25" t="n">
        <f aca="false">SUM(E30:E33)</f>
        <v>34800</v>
      </c>
    </row>
  </sheetData>
  <dataValidations count="1">
    <dataValidation allowBlank="false" errorStyle="stop" operator="between" showDropDown="false" showErrorMessage="false" showInputMessage="false" sqref="E22:E2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6"/>
    <col collapsed="false" customWidth="true" hidden="false" outlineLevel="0" max="4" min="3" style="0" width="13"/>
    <col collapsed="false" customWidth="true" hidden="false" outlineLevel="0" max="6" min="5" style="0" width="15"/>
    <col collapsed="false" customWidth="true" hidden="false" outlineLevel="0" max="7" min="7" style="0" width="12"/>
    <col collapsed="false" customWidth="true" hidden="false" outlineLevel="0" max="9" min="8" style="0" width="15"/>
    <col collapsed="false" customWidth="true" hidden="false" outlineLevel="0" max="10" min="10" style="0" width="22"/>
    <col collapsed="false" customWidth="true" hidden="false" outlineLevel="0" max="11" min="11" style="0" width="15"/>
    <col collapsed="false" customWidth="true" hidden="false" outlineLevel="0" max="15" min="12" style="0" width="11"/>
    <col collapsed="false" customWidth="true" hidden="false" outlineLevel="0" max="16" min="16" style="0" width="50"/>
  </cols>
  <sheetData>
    <row r="1" customFormat="false" ht="18.55" hidden="false" customHeight="false" outlineLevel="0" collapsed="false">
      <c r="A1" s="1" t="s">
        <v>46</v>
      </c>
    </row>
    <row r="2" customFormat="false" ht="15" hidden="false" customHeight="false" outlineLevel="0" collapsed="false">
      <c r="A2" s="2" t="s">
        <v>47</v>
      </c>
    </row>
    <row r="4" customFormat="false" ht="30" hidden="false" customHeight="true" outlineLevel="0" collapsed="false">
      <c r="A4" s="6" t="s">
        <v>48</v>
      </c>
      <c r="B4" s="6" t="s">
        <v>49</v>
      </c>
      <c r="C4" s="6" t="s">
        <v>50</v>
      </c>
      <c r="D4" s="6" t="s">
        <v>51</v>
      </c>
      <c r="E4" s="6" t="s">
        <v>52</v>
      </c>
      <c r="F4" s="6" t="s">
        <v>53</v>
      </c>
      <c r="G4" s="6" t="s">
        <v>54</v>
      </c>
      <c r="H4" s="6" t="s">
        <v>55</v>
      </c>
      <c r="I4" s="6" t="s">
        <v>56</v>
      </c>
      <c r="J4" s="6" t="s">
        <v>57</v>
      </c>
      <c r="K4" s="6" t="s">
        <v>58</v>
      </c>
      <c r="L4" s="6" t="s">
        <v>11</v>
      </c>
      <c r="M4" s="6" t="s">
        <v>13</v>
      </c>
      <c r="N4" s="6" t="s">
        <v>15</v>
      </c>
      <c r="O4" s="6" t="s">
        <v>17</v>
      </c>
      <c r="P4" s="6" t="s">
        <v>29</v>
      </c>
    </row>
    <row r="5" customFormat="false" ht="33.75" hidden="false" customHeight="true" outlineLevel="0" collapsed="false">
      <c r="A5" s="26" t="s">
        <v>59</v>
      </c>
      <c r="B5" s="17" t="s">
        <v>60</v>
      </c>
      <c r="C5" s="16" t="n">
        <v>3400</v>
      </c>
      <c r="D5" s="16" t="n">
        <v>6800</v>
      </c>
      <c r="E5" s="16" t="n">
        <v>5000</v>
      </c>
      <c r="F5" s="16" t="n">
        <v>10000</v>
      </c>
      <c r="G5" s="27" t="n">
        <v>0.8</v>
      </c>
      <c r="H5" s="26" t="s">
        <v>61</v>
      </c>
      <c r="I5" s="26" t="s">
        <v>61</v>
      </c>
      <c r="J5" s="26" t="s">
        <v>62</v>
      </c>
      <c r="K5" s="26" t="s">
        <v>61</v>
      </c>
      <c r="L5" s="28" t="n">
        <v>439.03</v>
      </c>
      <c r="M5" s="28" t="n">
        <v>921.97</v>
      </c>
      <c r="N5" s="28" t="n">
        <v>834.16</v>
      </c>
      <c r="O5" s="28" t="n">
        <v>1361</v>
      </c>
      <c r="P5" s="19" t="s">
        <v>63</v>
      </c>
    </row>
    <row r="6" customFormat="false" ht="33.75" hidden="false" customHeight="true" outlineLevel="0" collapsed="false">
      <c r="A6" s="29" t="s">
        <v>64</v>
      </c>
      <c r="B6" s="30" t="s">
        <v>65</v>
      </c>
      <c r="C6" s="31" t="n">
        <v>2000</v>
      </c>
      <c r="D6" s="31" t="n">
        <v>4000</v>
      </c>
      <c r="E6" s="31" t="n">
        <v>4000</v>
      </c>
      <c r="F6" s="31" t="n">
        <v>8000</v>
      </c>
      <c r="G6" s="32" t="n">
        <v>0.8</v>
      </c>
      <c r="H6" s="29" t="s">
        <v>66</v>
      </c>
      <c r="I6" s="29" t="s">
        <v>67</v>
      </c>
      <c r="J6" s="29" t="s">
        <v>68</v>
      </c>
      <c r="K6" s="29" t="s">
        <v>69</v>
      </c>
      <c r="L6" s="33" t="n">
        <v>492.11</v>
      </c>
      <c r="M6" s="33" t="n">
        <v>1033.43</v>
      </c>
      <c r="N6" s="33" t="n">
        <v>934.01</v>
      </c>
      <c r="O6" s="33" t="n">
        <v>1525.54</v>
      </c>
      <c r="P6" s="34" t="s">
        <v>70</v>
      </c>
    </row>
    <row r="7" customFormat="false" ht="33.75" hidden="false" customHeight="true" outlineLevel="0" collapsed="false">
      <c r="A7" s="26" t="s">
        <v>71</v>
      </c>
      <c r="B7" s="17" t="s">
        <v>65</v>
      </c>
      <c r="C7" s="16" t="n">
        <v>1000</v>
      </c>
      <c r="D7" s="16" t="n">
        <v>2000</v>
      </c>
      <c r="E7" s="16" t="n">
        <v>2000</v>
      </c>
      <c r="F7" s="16" t="n">
        <v>4000</v>
      </c>
      <c r="G7" s="27" t="n">
        <v>0.8</v>
      </c>
      <c r="H7" s="26" t="s">
        <v>72</v>
      </c>
      <c r="I7" s="26" t="s">
        <v>73</v>
      </c>
      <c r="J7" s="26" t="s">
        <v>74</v>
      </c>
      <c r="K7" s="26" t="s">
        <v>75</v>
      </c>
      <c r="L7" s="28" t="n">
        <v>546.33</v>
      </c>
      <c r="M7" s="28" t="n">
        <v>1147.29</v>
      </c>
      <c r="N7" s="28" t="n">
        <v>1038.02</v>
      </c>
      <c r="O7" s="28" t="n">
        <v>1693.61</v>
      </c>
      <c r="P7" s="19" t="s">
        <v>76</v>
      </c>
    </row>
    <row r="9" customFormat="false" ht="15" hidden="false" customHeight="false" outlineLevel="0" collapsed="false">
      <c r="A9" s="2"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21"/>
    <col collapsed="false" customWidth="true" hidden="false" outlineLevel="0" max="3" min="3" style="0" width="7"/>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7" min="7" style="0" width="15"/>
    <col collapsed="false" customWidth="true" hidden="false" outlineLevel="0" max="8" min="8" style="0" width="13"/>
    <col collapsed="false" customWidth="true" hidden="false" outlineLevel="0" max="9" min="9" style="0" width="15"/>
    <col collapsed="false" customWidth="true" hidden="false" outlineLevel="0" max="10" min="10" style="0" width="11"/>
    <col collapsed="false" customWidth="true" hidden="false" outlineLevel="0" max="11" min="11" style="0" width="19"/>
    <col collapsed="false" customWidth="true" hidden="false" outlineLevel="0" max="12" min="12" style="0" width="17"/>
    <col collapsed="false" customWidth="true" hidden="false" outlineLevel="0" max="14" min="13" style="0" width="13"/>
    <col collapsed="false" customWidth="true" hidden="false" outlineLevel="0" max="16" min="15" style="0" width="18"/>
    <col collapsed="false" customWidth="true" hidden="true" outlineLevel="0" max="17" min="17" style="0" width="30"/>
  </cols>
  <sheetData>
    <row r="1" customFormat="false" ht="18.55" hidden="false" customHeight="false" outlineLevel="0" collapsed="false">
      <c r="A1" s="1" t="s">
        <v>78</v>
      </c>
    </row>
    <row r="2" customFormat="false" ht="15" hidden="false" customHeight="false" outlineLevel="0" collapsed="false">
      <c r="A2" s="2" t="s">
        <v>79</v>
      </c>
    </row>
    <row r="4" customFormat="false" ht="39.75" hidden="false" customHeight="true" outlineLevel="0" collapsed="false">
      <c r="A4" s="6" t="s">
        <v>48</v>
      </c>
      <c r="B4" s="6" t="s">
        <v>4</v>
      </c>
      <c r="C4" s="6" t="s">
        <v>5</v>
      </c>
      <c r="D4" s="6" t="s">
        <v>42</v>
      </c>
      <c r="E4" s="6" t="s">
        <v>80</v>
      </c>
      <c r="F4" s="6" t="s">
        <v>81</v>
      </c>
      <c r="G4" s="6" t="s">
        <v>82</v>
      </c>
      <c r="H4" s="6" t="s">
        <v>6</v>
      </c>
      <c r="I4" s="6" t="s">
        <v>83</v>
      </c>
      <c r="J4" s="6" t="s">
        <v>84</v>
      </c>
      <c r="K4" s="6" t="s">
        <v>85</v>
      </c>
      <c r="L4" s="6" t="s">
        <v>86</v>
      </c>
      <c r="M4" s="6" t="s">
        <v>87</v>
      </c>
      <c r="N4" s="6" t="s">
        <v>88</v>
      </c>
      <c r="O4" s="6" t="s">
        <v>89</v>
      </c>
      <c r="P4" s="6" t="s">
        <v>90</v>
      </c>
      <c r="Q4" s="35" t="s">
        <v>91</v>
      </c>
    </row>
    <row r="5" customFormat="false" ht="15" hidden="false" customHeight="false" outlineLevel="0" collapsed="false">
      <c r="A5" s="7" t="s">
        <v>59</v>
      </c>
      <c r="B5" s="7" t="s">
        <v>10</v>
      </c>
      <c r="C5" s="8" t="s">
        <v>11</v>
      </c>
      <c r="D5" s="8" t="n">
        <f aca="false">COUNTIFS(Contributions!$D$22:$D$26,$C5,Contributions!$E$22:$E$26,"Yes")</f>
        <v>1</v>
      </c>
      <c r="E5" s="11" t="n">
        <f aca="false">INDEX('Angle Plans'!$L$5:$O$7,MATCH($A5,'Angle Plans'!$A$5:$A$7,0),MATCH($C5,'Angle Plans'!$L$4:$O$4,0))</f>
        <v>439.03</v>
      </c>
      <c r="F5" s="11" t="n">
        <f aca="false">INDEX(Contributions!$C$7:$C$10,MATCH($C5,Contributions!$B$7:$B$10,0))</f>
        <v>300</v>
      </c>
      <c r="G5" s="11" t="n">
        <f aca="false">Contributions!$C$16</f>
        <v>219.515</v>
      </c>
      <c r="H5" s="20" t="n">
        <f aca="false">MIN($E5,MAX($F5,$G5))</f>
        <v>300</v>
      </c>
      <c r="I5" s="20" t="n">
        <f aca="false">$E5-$H5</f>
        <v>139.03</v>
      </c>
      <c r="J5" s="36" t="n">
        <f aca="false">IF($E5=0,0,$H5/$E5)</f>
        <v>0.683324601963419</v>
      </c>
      <c r="K5" s="10" t="n">
        <f aca="false">$H5*$D5*12</f>
        <v>3600</v>
      </c>
      <c r="L5" s="10" t="n">
        <f aca="false">$I5*12</f>
        <v>1668.36</v>
      </c>
      <c r="M5" s="37" t="n">
        <f aca="false">IF($C5="EE",INDEX('Angle Plans'!$C$5:$C$7,MATCH($A5,'Angle Plans'!$A$5:$A$7,0)),INDEX('Angle Plans'!$D$5:$D$7,MATCH($A5,'Angle Plans'!$A$5:$A$7,0)))</f>
        <v>3400</v>
      </c>
      <c r="N5" s="37" t="n">
        <f aca="false">IF($C5="EE",INDEX('Angle Plans'!$E$5:$E$7,MATCH($A5,'Angle Plans'!$A$5:$A$7,0)),INDEX('Angle Plans'!$F$5:$F$7,MATCH($A5,'Angle Plans'!$A$5:$A$7,0)))</f>
        <v>5000</v>
      </c>
      <c r="O5" s="38" t="n">
        <f aca="false">$L5+$N5</f>
        <v>6668.36</v>
      </c>
      <c r="P5" s="10" t="n">
        <f aca="false">$I5*$D5*12</f>
        <v>1668.36</v>
      </c>
      <c r="Q5" s="7" t="str">
        <f aca="false">$A5&amp;"|"&amp;$C5</f>
        <v>ANG HDHP 3400/5000|EE</v>
      </c>
    </row>
    <row r="6" customFormat="false" ht="15" hidden="false" customHeight="false" outlineLevel="0" collapsed="false">
      <c r="A6" s="39" t="s">
        <v>59</v>
      </c>
      <c r="B6" s="39" t="s">
        <v>12</v>
      </c>
      <c r="C6" s="40" t="s">
        <v>13</v>
      </c>
      <c r="D6" s="40" t="n">
        <f aca="false">COUNTIFS(Contributions!$D$22:$D$26,$C6,Contributions!$E$22:$E$26,"Yes")</f>
        <v>1</v>
      </c>
      <c r="E6" s="41" t="n">
        <f aca="false">INDEX('Angle Plans'!$L$5:$O$7,MATCH($A6,'Angle Plans'!$A$5:$A$7,0),MATCH($C6,'Angle Plans'!$L$4:$O$4,0))</f>
        <v>921.97</v>
      </c>
      <c r="F6" s="41" t="n">
        <f aca="false">INDEX(Contributions!$C$7:$C$10,MATCH($C6,Contributions!$B$7:$B$10,0))</f>
        <v>600</v>
      </c>
      <c r="G6" s="41" t="n">
        <f aca="false">Contributions!$C$16</f>
        <v>219.515</v>
      </c>
      <c r="H6" s="42" t="n">
        <f aca="false">MIN($E6,MAX($F6,$G6))</f>
        <v>600</v>
      </c>
      <c r="I6" s="42" t="n">
        <f aca="false">$E6-$H6</f>
        <v>321.97</v>
      </c>
      <c r="J6" s="43" t="n">
        <f aca="false">IF($E6=0,0,$H6/$E6)</f>
        <v>0.650780394155992</v>
      </c>
      <c r="K6" s="44" t="n">
        <f aca="false">$H6*$D6*12</f>
        <v>7200</v>
      </c>
      <c r="L6" s="44" t="n">
        <f aca="false">$I6*12</f>
        <v>3863.64</v>
      </c>
      <c r="M6" s="45" t="n">
        <f aca="false">IF($C6="EE",INDEX('Angle Plans'!$C$5:$C$7,MATCH($A6,'Angle Plans'!$A$5:$A$7,0)),INDEX('Angle Plans'!$D$5:$D$7,MATCH($A6,'Angle Plans'!$A$5:$A$7,0)))</f>
        <v>6800</v>
      </c>
      <c r="N6" s="45" t="n">
        <f aca="false">IF($C6="EE",INDEX('Angle Plans'!$E$5:$E$7,MATCH($A6,'Angle Plans'!$A$5:$A$7,0)),INDEX('Angle Plans'!$F$5:$F$7,MATCH($A6,'Angle Plans'!$A$5:$A$7,0)))</f>
        <v>10000</v>
      </c>
      <c r="O6" s="46" t="n">
        <f aca="false">$L6+$N6</f>
        <v>13863.64</v>
      </c>
      <c r="P6" s="44" t="n">
        <f aca="false">$I6*$D6*12</f>
        <v>3863.64</v>
      </c>
      <c r="Q6" s="7" t="str">
        <f aca="false">$A6&amp;"|"&amp;$C6</f>
        <v>ANG HDHP 3400/5000|ES</v>
      </c>
    </row>
    <row r="7" customFormat="false" ht="15" hidden="false" customHeight="false" outlineLevel="0" collapsed="false">
      <c r="A7" s="7" t="s">
        <v>59</v>
      </c>
      <c r="B7" s="7" t="s">
        <v>14</v>
      </c>
      <c r="C7" s="8" t="s">
        <v>15</v>
      </c>
      <c r="D7" s="8" t="n">
        <f aca="false">COUNTIFS(Contributions!$D$22:$D$26,$C7,Contributions!$E$22:$E$26,"Yes")</f>
        <v>0</v>
      </c>
      <c r="E7" s="11" t="n">
        <f aca="false">INDEX('Angle Plans'!$L$5:$O$7,MATCH($A7,'Angle Plans'!$A$5:$A$7,0),MATCH($C7,'Angle Plans'!$L$4:$O$4,0))</f>
        <v>834.16</v>
      </c>
      <c r="F7" s="11" t="n">
        <f aca="false">INDEX(Contributions!$C$7:$C$10,MATCH($C7,Contributions!$B$7:$B$10,0))</f>
        <v>600</v>
      </c>
      <c r="G7" s="11" t="n">
        <f aca="false">Contributions!$C$16</f>
        <v>219.515</v>
      </c>
      <c r="H7" s="20" t="n">
        <f aca="false">MIN($E7,MAX($F7,$G7))</f>
        <v>600</v>
      </c>
      <c r="I7" s="20" t="n">
        <f aca="false">$E7-$H7</f>
        <v>234.16</v>
      </c>
      <c r="J7" s="36" t="n">
        <f aca="false">IF($E7=0,0,$H7/$E7)</f>
        <v>0.719286467823919</v>
      </c>
      <c r="K7" s="10" t="n">
        <f aca="false">$H7*$D7*12</f>
        <v>0</v>
      </c>
      <c r="L7" s="10" t="n">
        <f aca="false">$I7*12</f>
        <v>2809.92</v>
      </c>
      <c r="M7" s="37" t="n">
        <f aca="false">IF($C7="EE",INDEX('Angle Plans'!$C$5:$C$7,MATCH($A7,'Angle Plans'!$A$5:$A$7,0)),INDEX('Angle Plans'!$D$5:$D$7,MATCH($A7,'Angle Plans'!$A$5:$A$7,0)))</f>
        <v>6800</v>
      </c>
      <c r="N7" s="37" t="n">
        <f aca="false">IF($C7="EE",INDEX('Angle Plans'!$E$5:$E$7,MATCH($A7,'Angle Plans'!$A$5:$A$7,0)),INDEX('Angle Plans'!$F$5:$F$7,MATCH($A7,'Angle Plans'!$A$5:$A$7,0)))</f>
        <v>10000</v>
      </c>
      <c r="O7" s="38" t="n">
        <f aca="false">$L7+$N7</f>
        <v>12809.92</v>
      </c>
      <c r="P7" s="10" t="n">
        <f aca="false">$I7*$D7*12</f>
        <v>0</v>
      </c>
      <c r="Q7" s="7" t="str">
        <f aca="false">$A7&amp;"|"&amp;$C7</f>
        <v>ANG HDHP 3400/5000|EC</v>
      </c>
    </row>
    <row r="8" customFormat="false" ht="15" hidden="false" customHeight="false" outlineLevel="0" collapsed="false">
      <c r="A8" s="39" t="s">
        <v>59</v>
      </c>
      <c r="B8" s="39" t="s">
        <v>16</v>
      </c>
      <c r="C8" s="40" t="s">
        <v>17</v>
      </c>
      <c r="D8" s="40" t="n">
        <f aca="false">COUNTIFS(Contributions!$D$22:$D$26,$C8,Contributions!$E$22:$E$26,"Yes")</f>
        <v>2</v>
      </c>
      <c r="E8" s="41" t="n">
        <f aca="false">INDEX('Angle Plans'!$L$5:$O$7,MATCH($A8,'Angle Plans'!$A$5:$A$7,0),MATCH($C8,'Angle Plans'!$L$4:$O$4,0))</f>
        <v>1361</v>
      </c>
      <c r="F8" s="41" t="n">
        <f aca="false">INDEX(Contributions!$C$7:$C$10,MATCH($C8,Contributions!$B$7:$B$10,0))</f>
        <v>1000</v>
      </c>
      <c r="G8" s="41" t="n">
        <f aca="false">Contributions!$C$16</f>
        <v>219.515</v>
      </c>
      <c r="H8" s="42" t="n">
        <f aca="false">MIN($E8,MAX($F8,$G8))</f>
        <v>1000</v>
      </c>
      <c r="I8" s="42" t="n">
        <f aca="false">$E8-$H8</f>
        <v>361</v>
      </c>
      <c r="J8" s="43" t="n">
        <f aca="false">IF($E8=0,0,$H8/$E8)</f>
        <v>0.734753857457752</v>
      </c>
      <c r="K8" s="44" t="n">
        <f aca="false">$H8*$D8*12</f>
        <v>24000</v>
      </c>
      <c r="L8" s="44" t="n">
        <f aca="false">$I8*12</f>
        <v>4332</v>
      </c>
      <c r="M8" s="45" t="n">
        <f aca="false">IF($C8="EE",INDEX('Angle Plans'!$C$5:$C$7,MATCH($A8,'Angle Plans'!$A$5:$A$7,0)),INDEX('Angle Plans'!$D$5:$D$7,MATCH($A8,'Angle Plans'!$A$5:$A$7,0)))</f>
        <v>6800</v>
      </c>
      <c r="N8" s="45" t="n">
        <f aca="false">IF($C8="EE",INDEX('Angle Plans'!$E$5:$E$7,MATCH($A8,'Angle Plans'!$A$5:$A$7,0)),INDEX('Angle Plans'!$F$5:$F$7,MATCH($A8,'Angle Plans'!$A$5:$A$7,0)))</f>
        <v>10000</v>
      </c>
      <c r="O8" s="46" t="n">
        <f aca="false">$L8+$N8</f>
        <v>14332</v>
      </c>
      <c r="P8" s="44" t="n">
        <f aca="false">$I8*$D8*12</f>
        <v>8664</v>
      </c>
      <c r="Q8" s="7" t="str">
        <f aca="false">$A8&amp;"|"&amp;$C8</f>
        <v>ANG HDHP 3400/5000|FAM</v>
      </c>
    </row>
    <row r="9" customFormat="false" ht="15" hidden="false" customHeight="false" outlineLevel="0" collapsed="false">
      <c r="A9" s="7" t="s">
        <v>64</v>
      </c>
      <c r="B9" s="7" t="s">
        <v>10</v>
      </c>
      <c r="C9" s="8" t="s">
        <v>11</v>
      </c>
      <c r="D9" s="8" t="n">
        <f aca="false">COUNTIFS(Contributions!$D$22:$D$26,$C9,Contributions!$E$22:$E$26,"Yes")</f>
        <v>1</v>
      </c>
      <c r="E9" s="11" t="n">
        <f aca="false">INDEX('Angle Plans'!$L$5:$O$7,MATCH($A9,'Angle Plans'!$A$5:$A$7,0),MATCH($C9,'Angle Plans'!$L$4:$O$4,0))</f>
        <v>492.11</v>
      </c>
      <c r="F9" s="11" t="n">
        <f aca="false">INDEX(Contributions!$C$7:$C$10,MATCH($C9,Contributions!$B$7:$B$10,0))</f>
        <v>300</v>
      </c>
      <c r="G9" s="11" t="n">
        <f aca="false">Contributions!$C$16</f>
        <v>219.515</v>
      </c>
      <c r="H9" s="20" t="n">
        <f aca="false">MIN($E9,MAX($F9,$G9))</f>
        <v>300</v>
      </c>
      <c r="I9" s="20" t="n">
        <f aca="false">$E9-$H9</f>
        <v>192.11</v>
      </c>
      <c r="J9" s="36" t="n">
        <f aca="false">IF($E9=0,0,$H9/$E9)</f>
        <v>0.609619800451119</v>
      </c>
      <c r="K9" s="10" t="n">
        <f aca="false">$H9*$D9*12</f>
        <v>3600</v>
      </c>
      <c r="L9" s="10" t="n">
        <f aca="false">$I9*12</f>
        <v>2305.32</v>
      </c>
      <c r="M9" s="37" t="n">
        <f aca="false">IF($C9="EE",INDEX('Angle Plans'!$C$5:$C$7,MATCH($A9,'Angle Plans'!$A$5:$A$7,0)),INDEX('Angle Plans'!$D$5:$D$7,MATCH($A9,'Angle Plans'!$A$5:$A$7,0)))</f>
        <v>2000</v>
      </c>
      <c r="N9" s="37" t="n">
        <f aca="false">IF($C9="EE",INDEX('Angle Plans'!$E$5:$E$7,MATCH($A9,'Angle Plans'!$A$5:$A$7,0)),INDEX('Angle Plans'!$F$5:$F$7,MATCH($A9,'Angle Plans'!$A$5:$A$7,0)))</f>
        <v>4000</v>
      </c>
      <c r="O9" s="38" t="n">
        <f aca="false">$L9+$N9</f>
        <v>6305.32</v>
      </c>
      <c r="P9" s="10" t="n">
        <f aca="false">$I9*$D9*12</f>
        <v>2305.32</v>
      </c>
      <c r="Q9" s="7" t="str">
        <f aca="false">$A9&amp;"|"&amp;$C9</f>
        <v>ANG TRAD 2000/4000|EE</v>
      </c>
    </row>
    <row r="10" customFormat="false" ht="15" hidden="false" customHeight="false" outlineLevel="0" collapsed="false">
      <c r="A10" s="39" t="s">
        <v>64</v>
      </c>
      <c r="B10" s="39" t="s">
        <v>12</v>
      </c>
      <c r="C10" s="40" t="s">
        <v>13</v>
      </c>
      <c r="D10" s="40" t="n">
        <f aca="false">COUNTIFS(Contributions!$D$22:$D$26,$C10,Contributions!$E$22:$E$26,"Yes")</f>
        <v>1</v>
      </c>
      <c r="E10" s="41" t="n">
        <f aca="false">INDEX('Angle Plans'!$L$5:$O$7,MATCH($A10,'Angle Plans'!$A$5:$A$7,0),MATCH($C10,'Angle Plans'!$L$4:$O$4,0))</f>
        <v>1033.43</v>
      </c>
      <c r="F10" s="41" t="n">
        <f aca="false">INDEX(Contributions!$C$7:$C$10,MATCH($C10,Contributions!$B$7:$B$10,0))</f>
        <v>600</v>
      </c>
      <c r="G10" s="41" t="n">
        <f aca="false">Contributions!$C$16</f>
        <v>219.515</v>
      </c>
      <c r="H10" s="42" t="n">
        <f aca="false">MIN($E10,MAX($F10,$G10))</f>
        <v>600</v>
      </c>
      <c r="I10" s="42" t="n">
        <f aca="false">$E10-$H10</f>
        <v>433.43</v>
      </c>
      <c r="J10" s="43" t="n">
        <f aca="false">IF($E10=0,0,$H10/$E10)</f>
        <v>0.580590847952933</v>
      </c>
      <c r="K10" s="44" t="n">
        <f aca="false">$H10*$D10*12</f>
        <v>7200</v>
      </c>
      <c r="L10" s="44" t="n">
        <f aca="false">$I10*12</f>
        <v>5201.16</v>
      </c>
      <c r="M10" s="45" t="n">
        <f aca="false">IF($C10="EE",INDEX('Angle Plans'!$C$5:$C$7,MATCH($A10,'Angle Plans'!$A$5:$A$7,0)),INDEX('Angle Plans'!$D$5:$D$7,MATCH($A10,'Angle Plans'!$A$5:$A$7,0)))</f>
        <v>4000</v>
      </c>
      <c r="N10" s="45" t="n">
        <f aca="false">IF($C10="EE",INDEX('Angle Plans'!$E$5:$E$7,MATCH($A10,'Angle Plans'!$A$5:$A$7,0)),INDEX('Angle Plans'!$F$5:$F$7,MATCH($A10,'Angle Plans'!$A$5:$A$7,0)))</f>
        <v>8000</v>
      </c>
      <c r="O10" s="46" t="n">
        <f aca="false">$L10+$N10</f>
        <v>13201.16</v>
      </c>
      <c r="P10" s="44" t="n">
        <f aca="false">$I10*$D10*12</f>
        <v>5201.16</v>
      </c>
      <c r="Q10" s="7" t="str">
        <f aca="false">$A10&amp;"|"&amp;$C10</f>
        <v>ANG TRAD 2000/4000|ES</v>
      </c>
    </row>
    <row r="11" customFormat="false" ht="15" hidden="false" customHeight="false" outlineLevel="0" collapsed="false">
      <c r="A11" s="7" t="s">
        <v>64</v>
      </c>
      <c r="B11" s="7" t="s">
        <v>14</v>
      </c>
      <c r="C11" s="8" t="s">
        <v>15</v>
      </c>
      <c r="D11" s="8" t="n">
        <f aca="false">COUNTIFS(Contributions!$D$22:$D$26,$C11,Contributions!$E$22:$E$26,"Yes")</f>
        <v>0</v>
      </c>
      <c r="E11" s="11" t="n">
        <f aca="false">INDEX('Angle Plans'!$L$5:$O$7,MATCH($A11,'Angle Plans'!$A$5:$A$7,0),MATCH($C11,'Angle Plans'!$L$4:$O$4,0))</f>
        <v>934.01</v>
      </c>
      <c r="F11" s="11" t="n">
        <f aca="false">INDEX(Contributions!$C$7:$C$10,MATCH($C11,Contributions!$B$7:$B$10,0))</f>
        <v>600</v>
      </c>
      <c r="G11" s="11" t="n">
        <f aca="false">Contributions!$C$16</f>
        <v>219.515</v>
      </c>
      <c r="H11" s="20" t="n">
        <f aca="false">MIN($E11,MAX($F11,$G11))</f>
        <v>600</v>
      </c>
      <c r="I11" s="20" t="n">
        <f aca="false">$E11-$H11</f>
        <v>334.01</v>
      </c>
      <c r="J11" s="36" t="n">
        <f aca="false">IF($E11=0,0,$H11/$E11)</f>
        <v>0.642391409085556</v>
      </c>
      <c r="K11" s="10" t="n">
        <f aca="false">$H11*$D11*12</f>
        <v>0</v>
      </c>
      <c r="L11" s="10" t="n">
        <f aca="false">$I11*12</f>
        <v>4008.12</v>
      </c>
      <c r="M11" s="37" t="n">
        <f aca="false">IF($C11="EE",INDEX('Angle Plans'!$C$5:$C$7,MATCH($A11,'Angle Plans'!$A$5:$A$7,0)),INDEX('Angle Plans'!$D$5:$D$7,MATCH($A11,'Angle Plans'!$A$5:$A$7,0)))</f>
        <v>4000</v>
      </c>
      <c r="N11" s="37" t="n">
        <f aca="false">IF($C11="EE",INDEX('Angle Plans'!$E$5:$E$7,MATCH($A11,'Angle Plans'!$A$5:$A$7,0)),INDEX('Angle Plans'!$F$5:$F$7,MATCH($A11,'Angle Plans'!$A$5:$A$7,0)))</f>
        <v>8000</v>
      </c>
      <c r="O11" s="38" t="n">
        <f aca="false">$L11+$N11</f>
        <v>12008.12</v>
      </c>
      <c r="P11" s="10" t="n">
        <f aca="false">$I11*$D11*12</f>
        <v>0</v>
      </c>
      <c r="Q11" s="7" t="str">
        <f aca="false">$A11&amp;"|"&amp;$C11</f>
        <v>ANG TRAD 2000/4000|EC</v>
      </c>
    </row>
    <row r="12" customFormat="false" ht="15" hidden="false" customHeight="false" outlineLevel="0" collapsed="false">
      <c r="A12" s="39" t="s">
        <v>64</v>
      </c>
      <c r="B12" s="39" t="s">
        <v>16</v>
      </c>
      <c r="C12" s="40" t="s">
        <v>17</v>
      </c>
      <c r="D12" s="40" t="n">
        <f aca="false">COUNTIFS(Contributions!$D$22:$D$26,$C12,Contributions!$E$22:$E$26,"Yes")</f>
        <v>2</v>
      </c>
      <c r="E12" s="41" t="n">
        <f aca="false">INDEX('Angle Plans'!$L$5:$O$7,MATCH($A12,'Angle Plans'!$A$5:$A$7,0),MATCH($C12,'Angle Plans'!$L$4:$O$4,0))</f>
        <v>1525.54</v>
      </c>
      <c r="F12" s="41" t="n">
        <f aca="false">INDEX(Contributions!$C$7:$C$10,MATCH($C12,Contributions!$B$7:$B$10,0))</f>
        <v>1000</v>
      </c>
      <c r="G12" s="41" t="n">
        <f aca="false">Contributions!$C$16</f>
        <v>219.515</v>
      </c>
      <c r="H12" s="42" t="n">
        <f aca="false">MIN($E12,MAX($F12,$G12))</f>
        <v>1000</v>
      </c>
      <c r="I12" s="42" t="n">
        <f aca="false">$E12-$H12</f>
        <v>525.54</v>
      </c>
      <c r="J12" s="43" t="n">
        <f aca="false">IF($E12=0,0,$H12/$E12)</f>
        <v>0.655505591462695</v>
      </c>
      <c r="K12" s="44" t="n">
        <f aca="false">$H12*$D12*12</f>
        <v>24000</v>
      </c>
      <c r="L12" s="44" t="n">
        <f aca="false">$I12*12</f>
        <v>6306.48</v>
      </c>
      <c r="M12" s="45" t="n">
        <f aca="false">IF($C12="EE",INDEX('Angle Plans'!$C$5:$C$7,MATCH($A12,'Angle Plans'!$A$5:$A$7,0)),INDEX('Angle Plans'!$D$5:$D$7,MATCH($A12,'Angle Plans'!$A$5:$A$7,0)))</f>
        <v>4000</v>
      </c>
      <c r="N12" s="45" t="n">
        <f aca="false">IF($C12="EE",INDEX('Angle Plans'!$E$5:$E$7,MATCH($A12,'Angle Plans'!$A$5:$A$7,0)),INDEX('Angle Plans'!$F$5:$F$7,MATCH($A12,'Angle Plans'!$A$5:$A$7,0)))</f>
        <v>8000</v>
      </c>
      <c r="O12" s="46" t="n">
        <f aca="false">$L12+$N12</f>
        <v>14306.48</v>
      </c>
      <c r="P12" s="44" t="n">
        <f aca="false">$I12*$D12*12</f>
        <v>12612.96</v>
      </c>
      <c r="Q12" s="7" t="str">
        <f aca="false">$A12&amp;"|"&amp;$C12</f>
        <v>ANG TRAD 2000/4000|FAM</v>
      </c>
    </row>
    <row r="13" customFormat="false" ht="15" hidden="false" customHeight="false" outlineLevel="0" collapsed="false">
      <c r="A13" s="7" t="s">
        <v>71</v>
      </c>
      <c r="B13" s="7" t="s">
        <v>10</v>
      </c>
      <c r="C13" s="8" t="s">
        <v>11</v>
      </c>
      <c r="D13" s="8" t="n">
        <f aca="false">COUNTIFS(Contributions!$D$22:$D$26,$C13,Contributions!$E$22:$E$26,"Yes")</f>
        <v>1</v>
      </c>
      <c r="E13" s="11" t="n">
        <f aca="false">INDEX('Angle Plans'!$L$5:$O$7,MATCH($A13,'Angle Plans'!$A$5:$A$7,0),MATCH($C13,'Angle Plans'!$L$4:$O$4,0))</f>
        <v>546.33</v>
      </c>
      <c r="F13" s="11" t="n">
        <f aca="false">INDEX(Contributions!$C$7:$C$10,MATCH($C13,Contributions!$B$7:$B$10,0))</f>
        <v>300</v>
      </c>
      <c r="G13" s="11" t="n">
        <f aca="false">Contributions!$C$16</f>
        <v>219.515</v>
      </c>
      <c r="H13" s="20" t="n">
        <f aca="false">MIN($E13,MAX($F13,$G13))</f>
        <v>300</v>
      </c>
      <c r="I13" s="20" t="n">
        <f aca="false">$E13-$H13</f>
        <v>246.33</v>
      </c>
      <c r="J13" s="36" t="n">
        <f aca="false">IF($E13=0,0,$H13/$E13)</f>
        <v>0.549118664543408</v>
      </c>
      <c r="K13" s="10" t="n">
        <f aca="false">$H13*$D13*12</f>
        <v>3600</v>
      </c>
      <c r="L13" s="10" t="n">
        <f aca="false">$I13*12</f>
        <v>2955.96</v>
      </c>
      <c r="M13" s="37" t="n">
        <f aca="false">IF($C13="EE",INDEX('Angle Plans'!$C$5:$C$7,MATCH($A13,'Angle Plans'!$A$5:$A$7,0)),INDEX('Angle Plans'!$D$5:$D$7,MATCH($A13,'Angle Plans'!$A$5:$A$7,0)))</f>
        <v>1000</v>
      </c>
      <c r="N13" s="37" t="n">
        <f aca="false">IF($C13="EE",INDEX('Angle Plans'!$E$5:$E$7,MATCH($A13,'Angle Plans'!$A$5:$A$7,0)),INDEX('Angle Plans'!$F$5:$F$7,MATCH($A13,'Angle Plans'!$A$5:$A$7,0)))</f>
        <v>2000</v>
      </c>
      <c r="O13" s="38" t="n">
        <f aca="false">$L13+$N13</f>
        <v>4955.96</v>
      </c>
      <c r="P13" s="10" t="n">
        <f aca="false">$I13*$D13*12</f>
        <v>2955.96</v>
      </c>
      <c r="Q13" s="7" t="str">
        <f aca="false">$A13&amp;"|"&amp;$C13</f>
        <v>ANG TRAD 1000/2000|EE</v>
      </c>
    </row>
    <row r="14" customFormat="false" ht="15" hidden="false" customHeight="false" outlineLevel="0" collapsed="false">
      <c r="A14" s="39" t="s">
        <v>71</v>
      </c>
      <c r="B14" s="39" t="s">
        <v>12</v>
      </c>
      <c r="C14" s="40" t="s">
        <v>13</v>
      </c>
      <c r="D14" s="40" t="n">
        <f aca="false">COUNTIFS(Contributions!$D$22:$D$26,$C14,Contributions!$E$22:$E$26,"Yes")</f>
        <v>1</v>
      </c>
      <c r="E14" s="41" t="n">
        <f aca="false">INDEX('Angle Plans'!$L$5:$O$7,MATCH($A14,'Angle Plans'!$A$5:$A$7,0),MATCH($C14,'Angle Plans'!$L$4:$O$4,0))</f>
        <v>1147.29</v>
      </c>
      <c r="F14" s="41" t="n">
        <f aca="false">INDEX(Contributions!$C$7:$C$10,MATCH($C14,Contributions!$B$7:$B$10,0))</f>
        <v>600</v>
      </c>
      <c r="G14" s="41" t="n">
        <f aca="false">Contributions!$C$16</f>
        <v>219.515</v>
      </c>
      <c r="H14" s="42" t="n">
        <f aca="false">MIN($E14,MAX($F14,$G14))</f>
        <v>600</v>
      </c>
      <c r="I14" s="42" t="n">
        <f aca="false">$E14-$H14</f>
        <v>547.29</v>
      </c>
      <c r="J14" s="43" t="n">
        <f aca="false">IF($E14=0,0,$H14/$E14)</f>
        <v>0.522971524200507</v>
      </c>
      <c r="K14" s="44" t="n">
        <f aca="false">$H14*$D14*12</f>
        <v>7200</v>
      </c>
      <c r="L14" s="44" t="n">
        <f aca="false">$I14*12</f>
        <v>6567.48</v>
      </c>
      <c r="M14" s="45" t="n">
        <f aca="false">IF($C14="EE",INDEX('Angle Plans'!$C$5:$C$7,MATCH($A14,'Angle Plans'!$A$5:$A$7,0)),INDEX('Angle Plans'!$D$5:$D$7,MATCH($A14,'Angle Plans'!$A$5:$A$7,0)))</f>
        <v>2000</v>
      </c>
      <c r="N14" s="45" t="n">
        <f aca="false">IF($C14="EE",INDEX('Angle Plans'!$E$5:$E$7,MATCH($A14,'Angle Plans'!$A$5:$A$7,0)),INDEX('Angle Plans'!$F$5:$F$7,MATCH($A14,'Angle Plans'!$A$5:$A$7,0)))</f>
        <v>4000</v>
      </c>
      <c r="O14" s="46" t="n">
        <f aca="false">$L14+$N14</f>
        <v>10567.48</v>
      </c>
      <c r="P14" s="44" t="n">
        <f aca="false">$I14*$D14*12</f>
        <v>6567.48</v>
      </c>
      <c r="Q14" s="7" t="str">
        <f aca="false">$A14&amp;"|"&amp;$C14</f>
        <v>ANG TRAD 1000/2000|ES</v>
      </c>
    </row>
    <row r="15" customFormat="false" ht="15" hidden="false" customHeight="false" outlineLevel="0" collapsed="false">
      <c r="A15" s="7" t="s">
        <v>71</v>
      </c>
      <c r="B15" s="7" t="s">
        <v>14</v>
      </c>
      <c r="C15" s="8" t="s">
        <v>15</v>
      </c>
      <c r="D15" s="8" t="n">
        <f aca="false">COUNTIFS(Contributions!$D$22:$D$26,$C15,Contributions!$E$22:$E$26,"Yes")</f>
        <v>0</v>
      </c>
      <c r="E15" s="11" t="n">
        <f aca="false">INDEX('Angle Plans'!$L$5:$O$7,MATCH($A15,'Angle Plans'!$A$5:$A$7,0),MATCH($C15,'Angle Plans'!$L$4:$O$4,0))</f>
        <v>1038.02</v>
      </c>
      <c r="F15" s="11" t="n">
        <f aca="false">INDEX(Contributions!$C$7:$C$10,MATCH($C15,Contributions!$B$7:$B$10,0))</f>
        <v>600</v>
      </c>
      <c r="G15" s="11" t="n">
        <f aca="false">Contributions!$C$16</f>
        <v>219.515</v>
      </c>
      <c r="H15" s="20" t="n">
        <f aca="false">MIN($E15,MAX($F15,$G15))</f>
        <v>600</v>
      </c>
      <c r="I15" s="20" t="n">
        <f aca="false">$E15-$H15</f>
        <v>438.02</v>
      </c>
      <c r="J15" s="36" t="n">
        <f aca="false">IF($E15=0,0,$H15/$E15)</f>
        <v>0.578023544825726</v>
      </c>
      <c r="K15" s="10" t="n">
        <f aca="false">$H15*$D15*12</f>
        <v>0</v>
      </c>
      <c r="L15" s="10" t="n">
        <f aca="false">$I15*12</f>
        <v>5256.24</v>
      </c>
      <c r="M15" s="37" t="n">
        <f aca="false">IF($C15="EE",INDEX('Angle Plans'!$C$5:$C$7,MATCH($A15,'Angle Plans'!$A$5:$A$7,0)),INDEX('Angle Plans'!$D$5:$D$7,MATCH($A15,'Angle Plans'!$A$5:$A$7,0)))</f>
        <v>2000</v>
      </c>
      <c r="N15" s="37" t="n">
        <f aca="false">IF($C15="EE",INDEX('Angle Plans'!$E$5:$E$7,MATCH($A15,'Angle Plans'!$A$5:$A$7,0)),INDEX('Angle Plans'!$F$5:$F$7,MATCH($A15,'Angle Plans'!$A$5:$A$7,0)))</f>
        <v>4000</v>
      </c>
      <c r="O15" s="38" t="n">
        <f aca="false">$L15+$N15</f>
        <v>9256.24</v>
      </c>
      <c r="P15" s="10" t="n">
        <f aca="false">$I15*$D15*12</f>
        <v>0</v>
      </c>
      <c r="Q15" s="7" t="str">
        <f aca="false">$A15&amp;"|"&amp;$C15</f>
        <v>ANG TRAD 1000/2000|EC</v>
      </c>
    </row>
    <row r="16" customFormat="false" ht="15" hidden="false" customHeight="false" outlineLevel="0" collapsed="false">
      <c r="A16" s="39" t="s">
        <v>71</v>
      </c>
      <c r="B16" s="39" t="s">
        <v>16</v>
      </c>
      <c r="C16" s="40" t="s">
        <v>17</v>
      </c>
      <c r="D16" s="40" t="n">
        <f aca="false">COUNTIFS(Contributions!$D$22:$D$26,$C16,Contributions!$E$22:$E$26,"Yes")</f>
        <v>2</v>
      </c>
      <c r="E16" s="41" t="n">
        <f aca="false">INDEX('Angle Plans'!$L$5:$O$7,MATCH($A16,'Angle Plans'!$A$5:$A$7,0),MATCH($C16,'Angle Plans'!$L$4:$O$4,0))</f>
        <v>1693.61</v>
      </c>
      <c r="F16" s="41" t="n">
        <f aca="false">INDEX(Contributions!$C$7:$C$10,MATCH($C16,Contributions!$B$7:$B$10,0))</f>
        <v>1000</v>
      </c>
      <c r="G16" s="41" t="n">
        <f aca="false">Contributions!$C$16</f>
        <v>219.515</v>
      </c>
      <c r="H16" s="42" t="n">
        <f aca="false">MIN($E16,MAX($F16,$G16))</f>
        <v>1000</v>
      </c>
      <c r="I16" s="42" t="n">
        <f aca="false">$E16-$H16</f>
        <v>693.61</v>
      </c>
      <c r="J16" s="43" t="n">
        <f aca="false">IF($E16=0,0,$H16/$E16)</f>
        <v>0.590454709171533</v>
      </c>
      <c r="K16" s="44" t="n">
        <f aca="false">$H16*$D16*12</f>
        <v>24000</v>
      </c>
      <c r="L16" s="44" t="n">
        <f aca="false">$I16*12</f>
        <v>8323.32</v>
      </c>
      <c r="M16" s="45" t="n">
        <f aca="false">IF($C16="EE",INDEX('Angle Plans'!$C$5:$C$7,MATCH($A16,'Angle Plans'!$A$5:$A$7,0)),INDEX('Angle Plans'!$D$5:$D$7,MATCH($A16,'Angle Plans'!$A$5:$A$7,0)))</f>
        <v>2000</v>
      </c>
      <c r="N16" s="45" t="n">
        <f aca="false">IF($C16="EE",INDEX('Angle Plans'!$E$5:$E$7,MATCH($A16,'Angle Plans'!$A$5:$A$7,0)),INDEX('Angle Plans'!$F$5:$F$7,MATCH($A16,'Angle Plans'!$A$5:$A$7,0)))</f>
        <v>4000</v>
      </c>
      <c r="O16" s="46" t="n">
        <f aca="false">$L16+$N16</f>
        <v>12323.32</v>
      </c>
      <c r="P16" s="44" t="n">
        <f aca="false">$I16*$D16*12</f>
        <v>16646.64</v>
      </c>
      <c r="Q16" s="7" t="str">
        <f aca="false">$A16&amp;"|"&amp;$C16</f>
        <v>ANG TRAD 1000/2000|FAM</v>
      </c>
    </row>
    <row r="18" customFormat="false" ht="15" hidden="false" customHeight="false" outlineLevel="0" collapsed="false">
      <c r="A18" s="2" t="s">
        <v>92</v>
      </c>
    </row>
    <row r="19" customFormat="false" ht="15" hidden="false" customHeight="false" outlineLevel="0" collapsed="false">
      <c r="A19" s="2" t="s">
        <v>93</v>
      </c>
    </row>
  </sheetData>
  <autoFilter ref="A4:P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21"/>
    <col collapsed="false" customWidth="true" hidden="false" outlineLevel="0" max="4" min="4" style="0" width="7"/>
    <col collapsed="false" customWidth="true" hidden="false" outlineLevel="0" max="5" min="5" style="0" width="24"/>
    <col collapsed="false" customWidth="true" hidden="false" outlineLevel="0" max="9" min="6" style="0" width="14"/>
    <col collapsed="false" customWidth="true" hidden="false" outlineLevel="0" max="11" min="10" style="0" width="13"/>
    <col collapsed="false" customWidth="true" hidden="false" outlineLevel="0" max="12" min="12" style="0" width="16"/>
  </cols>
  <sheetData>
    <row r="1" customFormat="false" ht="18.55" hidden="false" customHeight="false" outlineLevel="0" collapsed="false">
      <c r="A1" s="1" t="s">
        <v>94</v>
      </c>
    </row>
    <row r="2" customFormat="false" ht="15" hidden="false" customHeight="false" outlineLevel="0" collapsed="false">
      <c r="A2" s="2" t="s">
        <v>95</v>
      </c>
    </row>
    <row r="4" customFormat="false" ht="33.75" hidden="false" customHeight="true" outlineLevel="0" collapsed="false">
      <c r="A4" s="6" t="s">
        <v>25</v>
      </c>
      <c r="B4" s="6" t="s">
        <v>28</v>
      </c>
      <c r="C4" s="6" t="s">
        <v>4</v>
      </c>
      <c r="D4" s="6" t="s">
        <v>5</v>
      </c>
      <c r="E4" s="6" t="s">
        <v>48</v>
      </c>
      <c r="F4" s="6" t="s">
        <v>80</v>
      </c>
      <c r="G4" s="6" t="s">
        <v>6</v>
      </c>
      <c r="H4" s="6" t="s">
        <v>96</v>
      </c>
      <c r="I4" s="6" t="s">
        <v>97</v>
      </c>
      <c r="J4" s="6" t="s">
        <v>87</v>
      </c>
      <c r="K4" s="6" t="s">
        <v>88</v>
      </c>
      <c r="L4" s="6" t="s">
        <v>98</v>
      </c>
    </row>
    <row r="5" customFormat="false" ht="15" hidden="false" customHeight="false" outlineLevel="0" collapsed="false">
      <c r="A5" s="7" t="s">
        <v>30</v>
      </c>
      <c r="B5" s="47" t="str">
        <f aca="false">Contributions!$E$22</f>
        <v>Yes</v>
      </c>
      <c r="C5" s="7" t="s">
        <v>16</v>
      </c>
      <c r="D5" s="8" t="s">
        <v>17</v>
      </c>
      <c r="E5" s="7" t="s">
        <v>59</v>
      </c>
      <c r="F5" s="11" t="n">
        <f aca="false">INDEX('Cost by Tier'!$E$5:$E$16,MATCH($E5&amp;"|"&amp;$D5,CostKey,0))</f>
        <v>1361</v>
      </c>
      <c r="G5" s="11" t="n">
        <f aca="false">INDEX('Cost by Tier'!$H$5:$H$16,MATCH($E5&amp;"|"&amp;$D5,CostKey,0))</f>
        <v>1000</v>
      </c>
      <c r="H5" s="11" t="n">
        <f aca="false">INDEX('Cost by Tier'!$I$5:$I$16,MATCH($E5&amp;"|"&amp;$D5,CostKey,0))</f>
        <v>361</v>
      </c>
      <c r="I5" s="37" t="n">
        <f aca="false">INDEX('Cost by Tier'!$L$5:$L$16,MATCH($E5&amp;"|"&amp;$D5,CostKey,0))</f>
        <v>4332</v>
      </c>
      <c r="J5" s="37" t="n">
        <f aca="false">INDEX('Cost by Tier'!$M$5:$M$16,MATCH($E5&amp;"|"&amp;$D5,CostKey,0))</f>
        <v>6800</v>
      </c>
      <c r="K5" s="37" t="n">
        <f aca="false">INDEX('Cost by Tier'!$N$5:$N$16,MATCH($E5&amp;"|"&amp;$D5,CostKey,0))</f>
        <v>10000</v>
      </c>
      <c r="L5" s="48" t="n">
        <f aca="false">INDEX('Cost by Tier'!$O$5:$O$16,MATCH($E5&amp;"|"&amp;$D5,CostKey,0))</f>
        <v>14332</v>
      </c>
    </row>
    <row r="6" customFormat="false" ht="15" hidden="false" customHeight="false" outlineLevel="0" collapsed="false">
      <c r="A6" s="7" t="s">
        <v>30</v>
      </c>
      <c r="B6" s="47" t="str">
        <f aca="false">Contributions!$E$22</f>
        <v>Yes</v>
      </c>
      <c r="C6" s="7" t="s">
        <v>16</v>
      </c>
      <c r="D6" s="8" t="s">
        <v>17</v>
      </c>
      <c r="E6" s="7" t="s">
        <v>64</v>
      </c>
      <c r="F6" s="11" t="n">
        <f aca="false">INDEX('Cost by Tier'!$E$5:$E$16,MATCH($E6&amp;"|"&amp;$D6,CostKey,0))</f>
        <v>1525.54</v>
      </c>
      <c r="G6" s="11" t="n">
        <f aca="false">INDEX('Cost by Tier'!$H$5:$H$16,MATCH($E6&amp;"|"&amp;$D6,CostKey,0))</f>
        <v>1000</v>
      </c>
      <c r="H6" s="11" t="n">
        <f aca="false">INDEX('Cost by Tier'!$I$5:$I$16,MATCH($E6&amp;"|"&amp;$D6,CostKey,0))</f>
        <v>525.54</v>
      </c>
      <c r="I6" s="37" t="n">
        <f aca="false">INDEX('Cost by Tier'!$L$5:$L$16,MATCH($E6&amp;"|"&amp;$D6,CostKey,0))</f>
        <v>6306.48</v>
      </c>
      <c r="J6" s="37" t="n">
        <f aca="false">INDEX('Cost by Tier'!$M$5:$M$16,MATCH($E6&amp;"|"&amp;$D6,CostKey,0))</f>
        <v>4000</v>
      </c>
      <c r="K6" s="37" t="n">
        <f aca="false">INDEX('Cost by Tier'!$N$5:$N$16,MATCH($E6&amp;"|"&amp;$D6,CostKey,0))</f>
        <v>8000</v>
      </c>
      <c r="L6" s="48" t="n">
        <f aca="false">INDEX('Cost by Tier'!$O$5:$O$16,MATCH($E6&amp;"|"&amp;$D6,CostKey,0))</f>
        <v>14306.48</v>
      </c>
    </row>
    <row r="7" customFormat="false" ht="15" hidden="false" customHeight="false" outlineLevel="0" collapsed="false">
      <c r="A7" s="7" t="s">
        <v>30</v>
      </c>
      <c r="B7" s="47" t="str">
        <f aca="false">Contributions!$E$22</f>
        <v>Yes</v>
      </c>
      <c r="C7" s="7" t="s">
        <v>16</v>
      </c>
      <c r="D7" s="8" t="s">
        <v>17</v>
      </c>
      <c r="E7" s="7" t="s">
        <v>71</v>
      </c>
      <c r="F7" s="11" t="n">
        <f aca="false">INDEX('Cost by Tier'!$E$5:$E$16,MATCH($E7&amp;"|"&amp;$D7,CostKey,0))</f>
        <v>1693.61</v>
      </c>
      <c r="G7" s="11" t="n">
        <f aca="false">INDEX('Cost by Tier'!$H$5:$H$16,MATCH($E7&amp;"|"&amp;$D7,CostKey,0))</f>
        <v>1000</v>
      </c>
      <c r="H7" s="11" t="n">
        <f aca="false">INDEX('Cost by Tier'!$I$5:$I$16,MATCH($E7&amp;"|"&amp;$D7,CostKey,0))</f>
        <v>693.61</v>
      </c>
      <c r="I7" s="37" t="n">
        <f aca="false">INDEX('Cost by Tier'!$L$5:$L$16,MATCH($E7&amp;"|"&amp;$D7,CostKey,0))</f>
        <v>8323.32</v>
      </c>
      <c r="J7" s="37" t="n">
        <f aca="false">INDEX('Cost by Tier'!$M$5:$M$16,MATCH($E7&amp;"|"&amp;$D7,CostKey,0))</f>
        <v>2000</v>
      </c>
      <c r="K7" s="37" t="n">
        <f aca="false">INDEX('Cost by Tier'!$N$5:$N$16,MATCH($E7&amp;"|"&amp;$D7,CostKey,0))</f>
        <v>4000</v>
      </c>
      <c r="L7" s="48" t="n">
        <f aca="false">INDEX('Cost by Tier'!$O$5:$O$16,MATCH($E7&amp;"|"&amp;$D7,CostKey,0))</f>
        <v>12323.32</v>
      </c>
    </row>
    <row r="8" customFormat="false" ht="15" hidden="false" customHeight="false" outlineLevel="0" collapsed="false">
      <c r="A8" s="7" t="s">
        <v>33</v>
      </c>
      <c r="B8" s="47" t="str">
        <f aca="false">Contributions!$E$23</f>
        <v>Yes</v>
      </c>
      <c r="C8" s="7" t="s">
        <v>10</v>
      </c>
      <c r="D8" s="8" t="s">
        <v>11</v>
      </c>
      <c r="E8" s="7" t="s">
        <v>59</v>
      </c>
      <c r="F8" s="11" t="n">
        <f aca="false">INDEX('Cost by Tier'!$E$5:$E$16,MATCH($E8&amp;"|"&amp;$D8,CostKey,0))</f>
        <v>439.03</v>
      </c>
      <c r="G8" s="11" t="n">
        <f aca="false">INDEX('Cost by Tier'!$H$5:$H$16,MATCH($E8&amp;"|"&amp;$D8,CostKey,0))</f>
        <v>300</v>
      </c>
      <c r="H8" s="11" t="n">
        <f aca="false">INDEX('Cost by Tier'!$I$5:$I$16,MATCH($E8&amp;"|"&amp;$D8,CostKey,0))</f>
        <v>139.03</v>
      </c>
      <c r="I8" s="37" t="n">
        <f aca="false">INDEX('Cost by Tier'!$L$5:$L$16,MATCH($E8&amp;"|"&amp;$D8,CostKey,0))</f>
        <v>1668.36</v>
      </c>
      <c r="J8" s="37" t="n">
        <f aca="false">INDEX('Cost by Tier'!$M$5:$M$16,MATCH($E8&amp;"|"&amp;$D8,CostKey,0))</f>
        <v>3400</v>
      </c>
      <c r="K8" s="37" t="n">
        <f aca="false">INDEX('Cost by Tier'!$N$5:$N$16,MATCH($E8&amp;"|"&amp;$D8,CostKey,0))</f>
        <v>5000</v>
      </c>
      <c r="L8" s="48" t="n">
        <f aca="false">INDEX('Cost by Tier'!$O$5:$O$16,MATCH($E8&amp;"|"&amp;$D8,CostKey,0))</f>
        <v>6668.36</v>
      </c>
    </row>
    <row r="9" customFormat="false" ht="15" hidden="false" customHeight="false" outlineLevel="0" collapsed="false">
      <c r="A9" s="7" t="s">
        <v>33</v>
      </c>
      <c r="B9" s="47" t="str">
        <f aca="false">Contributions!$E$23</f>
        <v>Yes</v>
      </c>
      <c r="C9" s="7" t="s">
        <v>10</v>
      </c>
      <c r="D9" s="8" t="s">
        <v>11</v>
      </c>
      <c r="E9" s="7" t="s">
        <v>64</v>
      </c>
      <c r="F9" s="11" t="n">
        <f aca="false">INDEX('Cost by Tier'!$E$5:$E$16,MATCH($E9&amp;"|"&amp;$D9,CostKey,0))</f>
        <v>492.11</v>
      </c>
      <c r="G9" s="11" t="n">
        <f aca="false">INDEX('Cost by Tier'!$H$5:$H$16,MATCH($E9&amp;"|"&amp;$D9,CostKey,0))</f>
        <v>300</v>
      </c>
      <c r="H9" s="11" t="n">
        <f aca="false">INDEX('Cost by Tier'!$I$5:$I$16,MATCH($E9&amp;"|"&amp;$D9,CostKey,0))</f>
        <v>192.11</v>
      </c>
      <c r="I9" s="37" t="n">
        <f aca="false">INDEX('Cost by Tier'!$L$5:$L$16,MATCH($E9&amp;"|"&amp;$D9,CostKey,0))</f>
        <v>2305.32</v>
      </c>
      <c r="J9" s="37" t="n">
        <f aca="false">INDEX('Cost by Tier'!$M$5:$M$16,MATCH($E9&amp;"|"&amp;$D9,CostKey,0))</f>
        <v>2000</v>
      </c>
      <c r="K9" s="37" t="n">
        <f aca="false">INDEX('Cost by Tier'!$N$5:$N$16,MATCH($E9&amp;"|"&amp;$D9,CostKey,0))</f>
        <v>4000</v>
      </c>
      <c r="L9" s="48" t="n">
        <f aca="false">INDEX('Cost by Tier'!$O$5:$O$16,MATCH($E9&amp;"|"&amp;$D9,CostKey,0))</f>
        <v>6305.32</v>
      </c>
    </row>
    <row r="10" customFormat="false" ht="15" hidden="false" customHeight="false" outlineLevel="0" collapsed="false">
      <c r="A10" s="7" t="s">
        <v>33</v>
      </c>
      <c r="B10" s="47" t="str">
        <f aca="false">Contributions!$E$23</f>
        <v>Yes</v>
      </c>
      <c r="C10" s="7" t="s">
        <v>10</v>
      </c>
      <c r="D10" s="8" t="s">
        <v>11</v>
      </c>
      <c r="E10" s="7" t="s">
        <v>71</v>
      </c>
      <c r="F10" s="11" t="n">
        <f aca="false">INDEX('Cost by Tier'!$E$5:$E$16,MATCH($E10&amp;"|"&amp;$D10,CostKey,0))</f>
        <v>546.33</v>
      </c>
      <c r="G10" s="11" t="n">
        <f aca="false">INDEX('Cost by Tier'!$H$5:$H$16,MATCH($E10&amp;"|"&amp;$D10,CostKey,0))</f>
        <v>300</v>
      </c>
      <c r="H10" s="11" t="n">
        <f aca="false">INDEX('Cost by Tier'!$I$5:$I$16,MATCH($E10&amp;"|"&amp;$D10,CostKey,0))</f>
        <v>246.33</v>
      </c>
      <c r="I10" s="37" t="n">
        <f aca="false">INDEX('Cost by Tier'!$L$5:$L$16,MATCH($E10&amp;"|"&amp;$D10,CostKey,0))</f>
        <v>2955.96</v>
      </c>
      <c r="J10" s="37" t="n">
        <f aca="false">INDEX('Cost by Tier'!$M$5:$M$16,MATCH($E10&amp;"|"&amp;$D10,CostKey,0))</f>
        <v>1000</v>
      </c>
      <c r="K10" s="37" t="n">
        <f aca="false">INDEX('Cost by Tier'!$N$5:$N$16,MATCH($E10&amp;"|"&amp;$D10,CostKey,0))</f>
        <v>2000</v>
      </c>
      <c r="L10" s="48" t="n">
        <f aca="false">INDEX('Cost by Tier'!$O$5:$O$16,MATCH($E10&amp;"|"&amp;$D10,CostKey,0))</f>
        <v>4955.96</v>
      </c>
    </row>
    <row r="11" customFormat="false" ht="15" hidden="false" customHeight="false" outlineLevel="0" collapsed="false">
      <c r="A11" s="7" t="s">
        <v>34</v>
      </c>
      <c r="B11" s="47" t="str">
        <f aca="false">Contributions!$E$24</f>
        <v>Yes</v>
      </c>
      <c r="C11" s="7" t="s">
        <v>16</v>
      </c>
      <c r="D11" s="8" t="s">
        <v>17</v>
      </c>
      <c r="E11" s="7" t="s">
        <v>59</v>
      </c>
      <c r="F11" s="11" t="n">
        <f aca="false">INDEX('Cost by Tier'!$E$5:$E$16,MATCH($E11&amp;"|"&amp;$D11,CostKey,0))</f>
        <v>1361</v>
      </c>
      <c r="G11" s="11" t="n">
        <f aca="false">INDEX('Cost by Tier'!$H$5:$H$16,MATCH($E11&amp;"|"&amp;$D11,CostKey,0))</f>
        <v>1000</v>
      </c>
      <c r="H11" s="11" t="n">
        <f aca="false">INDEX('Cost by Tier'!$I$5:$I$16,MATCH($E11&amp;"|"&amp;$D11,CostKey,0))</f>
        <v>361</v>
      </c>
      <c r="I11" s="37" t="n">
        <f aca="false">INDEX('Cost by Tier'!$L$5:$L$16,MATCH($E11&amp;"|"&amp;$D11,CostKey,0))</f>
        <v>4332</v>
      </c>
      <c r="J11" s="37" t="n">
        <f aca="false">INDEX('Cost by Tier'!$M$5:$M$16,MATCH($E11&amp;"|"&amp;$D11,CostKey,0))</f>
        <v>6800</v>
      </c>
      <c r="K11" s="37" t="n">
        <f aca="false">INDEX('Cost by Tier'!$N$5:$N$16,MATCH($E11&amp;"|"&amp;$D11,CostKey,0))</f>
        <v>10000</v>
      </c>
      <c r="L11" s="48" t="n">
        <f aca="false">INDEX('Cost by Tier'!$O$5:$O$16,MATCH($E11&amp;"|"&amp;$D11,CostKey,0))</f>
        <v>14332</v>
      </c>
    </row>
    <row r="12" customFormat="false" ht="15" hidden="false" customHeight="false" outlineLevel="0" collapsed="false">
      <c r="A12" s="7" t="s">
        <v>34</v>
      </c>
      <c r="B12" s="47" t="str">
        <f aca="false">Contributions!$E$24</f>
        <v>Yes</v>
      </c>
      <c r="C12" s="7" t="s">
        <v>16</v>
      </c>
      <c r="D12" s="8" t="s">
        <v>17</v>
      </c>
      <c r="E12" s="7" t="s">
        <v>64</v>
      </c>
      <c r="F12" s="11" t="n">
        <f aca="false">INDEX('Cost by Tier'!$E$5:$E$16,MATCH($E12&amp;"|"&amp;$D12,CostKey,0))</f>
        <v>1525.54</v>
      </c>
      <c r="G12" s="11" t="n">
        <f aca="false">INDEX('Cost by Tier'!$H$5:$H$16,MATCH($E12&amp;"|"&amp;$D12,CostKey,0))</f>
        <v>1000</v>
      </c>
      <c r="H12" s="11" t="n">
        <f aca="false">INDEX('Cost by Tier'!$I$5:$I$16,MATCH($E12&amp;"|"&amp;$D12,CostKey,0))</f>
        <v>525.54</v>
      </c>
      <c r="I12" s="37" t="n">
        <f aca="false">INDEX('Cost by Tier'!$L$5:$L$16,MATCH($E12&amp;"|"&amp;$D12,CostKey,0))</f>
        <v>6306.48</v>
      </c>
      <c r="J12" s="37" t="n">
        <f aca="false">INDEX('Cost by Tier'!$M$5:$M$16,MATCH($E12&amp;"|"&amp;$D12,CostKey,0))</f>
        <v>4000</v>
      </c>
      <c r="K12" s="37" t="n">
        <f aca="false">INDEX('Cost by Tier'!$N$5:$N$16,MATCH($E12&amp;"|"&amp;$D12,CostKey,0))</f>
        <v>8000</v>
      </c>
      <c r="L12" s="48" t="n">
        <f aca="false">INDEX('Cost by Tier'!$O$5:$O$16,MATCH($E12&amp;"|"&amp;$D12,CostKey,0))</f>
        <v>14306.48</v>
      </c>
    </row>
    <row r="13" customFormat="false" ht="15" hidden="false" customHeight="false" outlineLevel="0" collapsed="false">
      <c r="A13" s="7" t="s">
        <v>34</v>
      </c>
      <c r="B13" s="47" t="str">
        <f aca="false">Contributions!$E$24</f>
        <v>Yes</v>
      </c>
      <c r="C13" s="7" t="s">
        <v>16</v>
      </c>
      <c r="D13" s="8" t="s">
        <v>17</v>
      </c>
      <c r="E13" s="7" t="s">
        <v>71</v>
      </c>
      <c r="F13" s="11" t="n">
        <f aca="false">INDEX('Cost by Tier'!$E$5:$E$16,MATCH($E13&amp;"|"&amp;$D13,CostKey,0))</f>
        <v>1693.61</v>
      </c>
      <c r="G13" s="11" t="n">
        <f aca="false">INDEX('Cost by Tier'!$H$5:$H$16,MATCH($E13&amp;"|"&amp;$D13,CostKey,0))</f>
        <v>1000</v>
      </c>
      <c r="H13" s="11" t="n">
        <f aca="false">INDEX('Cost by Tier'!$I$5:$I$16,MATCH($E13&amp;"|"&amp;$D13,CostKey,0))</f>
        <v>693.61</v>
      </c>
      <c r="I13" s="37" t="n">
        <f aca="false">INDEX('Cost by Tier'!$L$5:$L$16,MATCH($E13&amp;"|"&amp;$D13,CostKey,0))</f>
        <v>8323.32</v>
      </c>
      <c r="J13" s="37" t="n">
        <f aca="false">INDEX('Cost by Tier'!$M$5:$M$16,MATCH($E13&amp;"|"&amp;$D13,CostKey,0))</f>
        <v>2000</v>
      </c>
      <c r="K13" s="37" t="n">
        <f aca="false">INDEX('Cost by Tier'!$N$5:$N$16,MATCH($E13&amp;"|"&amp;$D13,CostKey,0))</f>
        <v>4000</v>
      </c>
      <c r="L13" s="48" t="n">
        <f aca="false">INDEX('Cost by Tier'!$O$5:$O$16,MATCH($E13&amp;"|"&amp;$D13,CostKey,0))</f>
        <v>12323.32</v>
      </c>
    </row>
    <row r="14" customFormat="false" ht="15" hidden="false" customHeight="false" outlineLevel="0" collapsed="false">
      <c r="A14" s="7" t="s">
        <v>36</v>
      </c>
      <c r="B14" s="47" t="str">
        <f aca="false">Contributions!$E$25</f>
        <v>Yes</v>
      </c>
      <c r="C14" s="7" t="s">
        <v>12</v>
      </c>
      <c r="D14" s="8" t="s">
        <v>13</v>
      </c>
      <c r="E14" s="7" t="s">
        <v>59</v>
      </c>
      <c r="F14" s="11" t="n">
        <f aca="false">INDEX('Cost by Tier'!$E$5:$E$16,MATCH($E14&amp;"|"&amp;$D14,CostKey,0))</f>
        <v>921.97</v>
      </c>
      <c r="G14" s="11" t="n">
        <f aca="false">INDEX('Cost by Tier'!$H$5:$H$16,MATCH($E14&amp;"|"&amp;$D14,CostKey,0))</f>
        <v>600</v>
      </c>
      <c r="H14" s="11" t="n">
        <f aca="false">INDEX('Cost by Tier'!$I$5:$I$16,MATCH($E14&amp;"|"&amp;$D14,CostKey,0))</f>
        <v>321.97</v>
      </c>
      <c r="I14" s="37" t="n">
        <f aca="false">INDEX('Cost by Tier'!$L$5:$L$16,MATCH($E14&amp;"|"&amp;$D14,CostKey,0))</f>
        <v>3863.64</v>
      </c>
      <c r="J14" s="37" t="n">
        <f aca="false">INDEX('Cost by Tier'!$M$5:$M$16,MATCH($E14&amp;"|"&amp;$D14,CostKey,0))</f>
        <v>6800</v>
      </c>
      <c r="K14" s="37" t="n">
        <f aca="false">INDEX('Cost by Tier'!$N$5:$N$16,MATCH($E14&amp;"|"&amp;$D14,CostKey,0))</f>
        <v>10000</v>
      </c>
      <c r="L14" s="48" t="n">
        <f aca="false">INDEX('Cost by Tier'!$O$5:$O$16,MATCH($E14&amp;"|"&amp;$D14,CostKey,0))</f>
        <v>13863.64</v>
      </c>
    </row>
    <row r="15" customFormat="false" ht="15" hidden="false" customHeight="false" outlineLevel="0" collapsed="false">
      <c r="A15" s="7" t="s">
        <v>36</v>
      </c>
      <c r="B15" s="47" t="str">
        <f aca="false">Contributions!$E$25</f>
        <v>Yes</v>
      </c>
      <c r="C15" s="7" t="s">
        <v>12</v>
      </c>
      <c r="D15" s="8" t="s">
        <v>13</v>
      </c>
      <c r="E15" s="7" t="s">
        <v>64</v>
      </c>
      <c r="F15" s="11" t="n">
        <f aca="false">INDEX('Cost by Tier'!$E$5:$E$16,MATCH($E15&amp;"|"&amp;$D15,CostKey,0))</f>
        <v>1033.43</v>
      </c>
      <c r="G15" s="11" t="n">
        <f aca="false">INDEX('Cost by Tier'!$H$5:$H$16,MATCH($E15&amp;"|"&amp;$D15,CostKey,0))</f>
        <v>600</v>
      </c>
      <c r="H15" s="11" t="n">
        <f aca="false">INDEX('Cost by Tier'!$I$5:$I$16,MATCH($E15&amp;"|"&amp;$D15,CostKey,0))</f>
        <v>433.43</v>
      </c>
      <c r="I15" s="37" t="n">
        <f aca="false">INDEX('Cost by Tier'!$L$5:$L$16,MATCH($E15&amp;"|"&amp;$D15,CostKey,0))</f>
        <v>5201.16</v>
      </c>
      <c r="J15" s="37" t="n">
        <f aca="false">INDEX('Cost by Tier'!$M$5:$M$16,MATCH($E15&amp;"|"&amp;$D15,CostKey,0))</f>
        <v>4000</v>
      </c>
      <c r="K15" s="37" t="n">
        <f aca="false">INDEX('Cost by Tier'!$N$5:$N$16,MATCH($E15&amp;"|"&amp;$D15,CostKey,0))</f>
        <v>8000</v>
      </c>
      <c r="L15" s="48" t="n">
        <f aca="false">INDEX('Cost by Tier'!$O$5:$O$16,MATCH($E15&amp;"|"&amp;$D15,CostKey,0))</f>
        <v>13201.16</v>
      </c>
    </row>
    <row r="16" customFormat="false" ht="15" hidden="false" customHeight="false" outlineLevel="0" collapsed="false">
      <c r="A16" s="7" t="s">
        <v>36</v>
      </c>
      <c r="B16" s="47" t="str">
        <f aca="false">Contributions!$E$25</f>
        <v>Yes</v>
      </c>
      <c r="C16" s="7" t="s">
        <v>12</v>
      </c>
      <c r="D16" s="8" t="s">
        <v>13</v>
      </c>
      <c r="E16" s="7" t="s">
        <v>71</v>
      </c>
      <c r="F16" s="11" t="n">
        <f aca="false">INDEX('Cost by Tier'!$E$5:$E$16,MATCH($E16&amp;"|"&amp;$D16,CostKey,0))</f>
        <v>1147.29</v>
      </c>
      <c r="G16" s="11" t="n">
        <f aca="false">INDEX('Cost by Tier'!$H$5:$H$16,MATCH($E16&amp;"|"&amp;$D16,CostKey,0))</f>
        <v>600</v>
      </c>
      <c r="H16" s="11" t="n">
        <f aca="false">INDEX('Cost by Tier'!$I$5:$I$16,MATCH($E16&amp;"|"&amp;$D16,CostKey,0))</f>
        <v>547.29</v>
      </c>
      <c r="I16" s="37" t="n">
        <f aca="false">INDEX('Cost by Tier'!$L$5:$L$16,MATCH($E16&amp;"|"&amp;$D16,CostKey,0))</f>
        <v>6567.48</v>
      </c>
      <c r="J16" s="37" t="n">
        <f aca="false">INDEX('Cost by Tier'!$M$5:$M$16,MATCH($E16&amp;"|"&amp;$D16,CostKey,0))</f>
        <v>2000</v>
      </c>
      <c r="K16" s="37" t="n">
        <f aca="false">INDEX('Cost by Tier'!$N$5:$N$16,MATCH($E16&amp;"|"&amp;$D16,CostKey,0))</f>
        <v>4000</v>
      </c>
      <c r="L16" s="48" t="n">
        <f aca="false">INDEX('Cost by Tier'!$O$5:$O$16,MATCH($E16&amp;"|"&amp;$D16,CostKey,0))</f>
        <v>10567.48</v>
      </c>
    </row>
    <row r="17" customFormat="false" ht="15" hidden="false" customHeight="false" outlineLevel="0" collapsed="false">
      <c r="A17" s="39" t="s">
        <v>38</v>
      </c>
      <c r="B17" s="49" t="str">
        <f aca="false">Contributions!$E$26</f>
        <v>No</v>
      </c>
      <c r="C17" s="39" t="s">
        <v>16</v>
      </c>
      <c r="D17" s="40" t="s">
        <v>17</v>
      </c>
      <c r="E17" s="39" t="s">
        <v>59</v>
      </c>
      <c r="F17" s="41" t="n">
        <f aca="false">INDEX('Cost by Tier'!$E$5:$E$16,MATCH($E17&amp;"|"&amp;$D17,CostKey,0))</f>
        <v>1361</v>
      </c>
      <c r="G17" s="41" t="n">
        <f aca="false">INDEX('Cost by Tier'!$H$5:$H$16,MATCH($E17&amp;"|"&amp;$D17,CostKey,0))</f>
        <v>1000</v>
      </c>
      <c r="H17" s="41" t="n">
        <f aca="false">INDEX('Cost by Tier'!$I$5:$I$16,MATCH($E17&amp;"|"&amp;$D17,CostKey,0))</f>
        <v>361</v>
      </c>
      <c r="I17" s="45" t="n">
        <f aca="false">INDEX('Cost by Tier'!$L$5:$L$16,MATCH($E17&amp;"|"&amp;$D17,CostKey,0))</f>
        <v>4332</v>
      </c>
      <c r="J17" s="45" t="n">
        <f aca="false">INDEX('Cost by Tier'!$M$5:$M$16,MATCH($E17&amp;"|"&amp;$D17,CostKey,0))</f>
        <v>6800</v>
      </c>
      <c r="K17" s="45" t="n">
        <f aca="false">INDEX('Cost by Tier'!$N$5:$N$16,MATCH($E17&amp;"|"&amp;$D17,CostKey,0))</f>
        <v>10000</v>
      </c>
      <c r="L17" s="50" t="n">
        <f aca="false">INDEX('Cost by Tier'!$O$5:$O$16,MATCH($E17&amp;"|"&amp;$D17,CostKey,0))</f>
        <v>14332</v>
      </c>
    </row>
    <row r="18" customFormat="false" ht="15" hidden="false" customHeight="false" outlineLevel="0" collapsed="false">
      <c r="A18" s="39" t="s">
        <v>38</v>
      </c>
      <c r="B18" s="49" t="str">
        <f aca="false">Contributions!$E$26</f>
        <v>No</v>
      </c>
      <c r="C18" s="39" t="s">
        <v>16</v>
      </c>
      <c r="D18" s="40" t="s">
        <v>17</v>
      </c>
      <c r="E18" s="39" t="s">
        <v>64</v>
      </c>
      <c r="F18" s="41" t="n">
        <f aca="false">INDEX('Cost by Tier'!$E$5:$E$16,MATCH($E18&amp;"|"&amp;$D18,CostKey,0))</f>
        <v>1525.54</v>
      </c>
      <c r="G18" s="41" t="n">
        <f aca="false">INDEX('Cost by Tier'!$H$5:$H$16,MATCH($E18&amp;"|"&amp;$D18,CostKey,0))</f>
        <v>1000</v>
      </c>
      <c r="H18" s="41" t="n">
        <f aca="false">INDEX('Cost by Tier'!$I$5:$I$16,MATCH($E18&amp;"|"&amp;$D18,CostKey,0))</f>
        <v>525.54</v>
      </c>
      <c r="I18" s="45" t="n">
        <f aca="false">INDEX('Cost by Tier'!$L$5:$L$16,MATCH($E18&amp;"|"&amp;$D18,CostKey,0))</f>
        <v>6306.48</v>
      </c>
      <c r="J18" s="45" t="n">
        <f aca="false">INDEX('Cost by Tier'!$M$5:$M$16,MATCH($E18&amp;"|"&amp;$D18,CostKey,0))</f>
        <v>4000</v>
      </c>
      <c r="K18" s="45" t="n">
        <f aca="false">INDEX('Cost by Tier'!$N$5:$N$16,MATCH($E18&amp;"|"&amp;$D18,CostKey,0))</f>
        <v>8000</v>
      </c>
      <c r="L18" s="50" t="n">
        <f aca="false">INDEX('Cost by Tier'!$O$5:$O$16,MATCH($E18&amp;"|"&amp;$D18,CostKey,0))</f>
        <v>14306.48</v>
      </c>
    </row>
    <row r="19" customFormat="false" ht="15" hidden="false" customHeight="false" outlineLevel="0" collapsed="false">
      <c r="A19" s="39" t="s">
        <v>38</v>
      </c>
      <c r="B19" s="49" t="str">
        <f aca="false">Contributions!$E$26</f>
        <v>No</v>
      </c>
      <c r="C19" s="39" t="s">
        <v>16</v>
      </c>
      <c r="D19" s="40" t="s">
        <v>17</v>
      </c>
      <c r="E19" s="39" t="s">
        <v>71</v>
      </c>
      <c r="F19" s="41" t="n">
        <f aca="false">INDEX('Cost by Tier'!$E$5:$E$16,MATCH($E19&amp;"|"&amp;$D19,CostKey,0))</f>
        <v>1693.61</v>
      </c>
      <c r="G19" s="41" t="n">
        <f aca="false">INDEX('Cost by Tier'!$H$5:$H$16,MATCH($E19&amp;"|"&amp;$D19,CostKey,0))</f>
        <v>1000</v>
      </c>
      <c r="H19" s="41" t="n">
        <f aca="false">INDEX('Cost by Tier'!$I$5:$I$16,MATCH($E19&amp;"|"&amp;$D19,CostKey,0))</f>
        <v>693.61</v>
      </c>
      <c r="I19" s="45" t="n">
        <f aca="false">INDEX('Cost by Tier'!$L$5:$L$16,MATCH($E19&amp;"|"&amp;$D19,CostKey,0))</f>
        <v>8323.32</v>
      </c>
      <c r="J19" s="45" t="n">
        <f aca="false">INDEX('Cost by Tier'!$M$5:$M$16,MATCH($E19&amp;"|"&amp;$D19,CostKey,0))</f>
        <v>2000</v>
      </c>
      <c r="K19" s="45" t="n">
        <f aca="false">INDEX('Cost by Tier'!$N$5:$N$16,MATCH($E19&amp;"|"&amp;$D19,CostKey,0))</f>
        <v>4000</v>
      </c>
      <c r="L19" s="50" t="n">
        <f aca="false">INDEX('Cost by Tier'!$O$5:$O$16,MATCH($E19&amp;"|"&amp;$D19,CostKey,0))</f>
        <v>12323.32</v>
      </c>
    </row>
  </sheetData>
  <autoFilter ref="A4:L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30"/>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56"/>
  </cols>
  <sheetData>
    <row r="1" customFormat="false" ht="18.55"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A4" s="4" t="s">
        <v>101</v>
      </c>
      <c r="B4" s="5"/>
      <c r="C4" s="5"/>
      <c r="D4" s="5"/>
      <c r="E4" s="5"/>
      <c r="F4" s="5"/>
      <c r="G4" s="5"/>
      <c r="H4" s="5"/>
    </row>
    <row r="5" customFormat="false" ht="30" hidden="false" customHeight="true" outlineLevel="0" collapsed="false">
      <c r="A5" s="6" t="s">
        <v>102</v>
      </c>
      <c r="B5" s="6" t="s">
        <v>103</v>
      </c>
      <c r="C5" s="6" t="s">
        <v>104</v>
      </c>
      <c r="D5" s="6" t="s">
        <v>105</v>
      </c>
      <c r="E5" s="6" t="s">
        <v>106</v>
      </c>
      <c r="F5" s="6" t="s">
        <v>107</v>
      </c>
      <c r="G5" s="6" t="s">
        <v>108</v>
      </c>
      <c r="H5" s="6" t="s">
        <v>29</v>
      </c>
    </row>
    <row r="6" customFormat="false" ht="39.75" hidden="false" customHeight="true" outlineLevel="0" collapsed="false">
      <c r="A6" s="7" t="s">
        <v>109</v>
      </c>
      <c r="B6" s="51" t="s">
        <v>110</v>
      </c>
      <c r="C6" s="9" t="n">
        <v>117</v>
      </c>
      <c r="D6" s="18" t="n">
        <v>5</v>
      </c>
      <c r="E6" s="52" t="s">
        <v>111</v>
      </c>
      <c r="F6" s="20" t="n">
        <f aca="false">G6/12</f>
        <v>585</v>
      </c>
      <c r="G6" s="10" t="n">
        <f aca="false">C6*D6*12</f>
        <v>7020</v>
      </c>
      <c r="H6" s="19" t="s">
        <v>112</v>
      </c>
    </row>
    <row r="7" customFormat="false" ht="39.75" hidden="false" customHeight="true" outlineLevel="0" collapsed="false">
      <c r="A7" s="7" t="s">
        <v>113</v>
      </c>
      <c r="B7" s="51" t="s">
        <v>114</v>
      </c>
      <c r="C7" s="9" t="n">
        <v>1402.13</v>
      </c>
      <c r="D7" s="12"/>
      <c r="E7" s="52" t="s">
        <v>111</v>
      </c>
      <c r="F7" s="20" t="n">
        <f aca="false">G7/12</f>
        <v>116.844166666667</v>
      </c>
      <c r="G7" s="10" t="n">
        <f aca="false">IF($E7="No",0,$C7)</f>
        <v>1402.13</v>
      </c>
      <c r="H7" s="19" t="s">
        <v>115</v>
      </c>
    </row>
    <row r="8" customFormat="false" ht="39.75" hidden="false" customHeight="true" outlineLevel="0" collapsed="false">
      <c r="A8" s="7" t="s">
        <v>116</v>
      </c>
      <c r="B8" s="51" t="s">
        <v>114</v>
      </c>
      <c r="C8" s="9" t="n">
        <v>420</v>
      </c>
      <c r="D8" s="12"/>
      <c r="E8" s="18" t="s">
        <v>39</v>
      </c>
      <c r="F8" s="20" t="n">
        <f aca="false">G8/12</f>
        <v>0</v>
      </c>
      <c r="G8" s="10" t="n">
        <f aca="false">IF($E8="No",0,$C8)</f>
        <v>0</v>
      </c>
      <c r="H8" s="19" t="s">
        <v>117</v>
      </c>
    </row>
    <row r="9" customFormat="false" ht="15" hidden="false" customHeight="false" outlineLevel="0" collapsed="false">
      <c r="A9" s="21" t="s">
        <v>118</v>
      </c>
      <c r="B9" s="22"/>
      <c r="C9" s="22"/>
      <c r="D9" s="22"/>
      <c r="E9" s="22"/>
      <c r="F9" s="24" t="n">
        <f aca="false">SUM(F6:F8)</f>
        <v>701.844166666667</v>
      </c>
      <c r="G9" s="25" t="n">
        <f aca="false">SUM(G6:G8)</f>
        <v>8422.13</v>
      </c>
      <c r="H9" s="22"/>
    </row>
    <row r="10" customFormat="false" ht="15" hidden="false" customHeight="false" outlineLevel="0" collapsed="false">
      <c r="A10" s="7" t="s">
        <v>119</v>
      </c>
      <c r="B10" s="51" t="s">
        <v>120</v>
      </c>
      <c r="C10" s="12"/>
      <c r="D10" s="12"/>
      <c r="E10" s="12"/>
      <c r="F10" s="12"/>
      <c r="G10" s="53" t="n">
        <v>1000</v>
      </c>
      <c r="H10" s="12"/>
    </row>
    <row r="11" customFormat="false" ht="15" hidden="false" customHeight="false" outlineLevel="0" collapsed="false">
      <c r="A11" s="2" t="s">
        <v>121</v>
      </c>
    </row>
    <row r="13" customFormat="false" ht="15" hidden="false" customHeight="false" outlineLevel="0" collapsed="false">
      <c r="A13" s="4" t="s">
        <v>122</v>
      </c>
      <c r="B13" s="5"/>
      <c r="C13" s="5"/>
      <c r="D13" s="5"/>
      <c r="E13" s="5"/>
      <c r="F13" s="5"/>
      <c r="G13" s="5"/>
      <c r="H13" s="5"/>
    </row>
    <row r="14" customFormat="false" ht="30" hidden="false" customHeight="true" outlineLevel="0" collapsed="false">
      <c r="A14" s="6" t="s">
        <v>123</v>
      </c>
      <c r="B14" s="6" t="s">
        <v>106</v>
      </c>
      <c r="C14" s="6" t="s">
        <v>124</v>
      </c>
      <c r="D14" s="6" t="s">
        <v>107</v>
      </c>
      <c r="E14" s="6" t="s">
        <v>108</v>
      </c>
      <c r="F14" s="6" t="s">
        <v>29</v>
      </c>
    </row>
    <row r="15" customFormat="false" ht="42" hidden="false" customHeight="true" outlineLevel="0" collapsed="false">
      <c r="A15" s="7" t="s">
        <v>125</v>
      </c>
      <c r="B15" s="18" t="s">
        <v>31</v>
      </c>
      <c r="C15" s="51" t="s">
        <v>126</v>
      </c>
      <c r="D15" s="9" t="n">
        <v>46.25</v>
      </c>
      <c r="E15" s="10" t="n">
        <f aca="false">IF($B15="Yes",$D15*12,0)</f>
        <v>555</v>
      </c>
      <c r="F15" s="19" t="s">
        <v>127</v>
      </c>
    </row>
    <row r="16" customFormat="false" ht="42" hidden="false" customHeight="true" outlineLevel="0" collapsed="false">
      <c r="A16" s="7" t="s">
        <v>128</v>
      </c>
      <c r="B16" s="18" t="s">
        <v>31</v>
      </c>
      <c r="C16" s="51" t="s">
        <v>129</v>
      </c>
      <c r="D16" s="9" t="n">
        <v>159.09</v>
      </c>
      <c r="E16" s="10" t="n">
        <f aca="false">IF($B16="Yes",$D16*12,0)</f>
        <v>1909.08</v>
      </c>
      <c r="F16" s="19" t="s">
        <v>130</v>
      </c>
    </row>
    <row r="17" customFormat="false" ht="42" hidden="false" customHeight="true" outlineLevel="0" collapsed="false">
      <c r="A17" s="7" t="s">
        <v>131</v>
      </c>
      <c r="B17" s="18" t="s">
        <v>39</v>
      </c>
      <c r="C17" s="51" t="s">
        <v>132</v>
      </c>
      <c r="D17" s="9" t="n">
        <v>126.74</v>
      </c>
      <c r="E17" s="10" t="n">
        <f aca="false">IF($B17="Yes",$D17*12,0)</f>
        <v>0</v>
      </c>
      <c r="F17" s="19" t="s">
        <v>133</v>
      </c>
    </row>
    <row r="18" customFormat="false" ht="15" hidden="false" customHeight="false" outlineLevel="0" collapsed="false">
      <c r="A18" s="21" t="s">
        <v>134</v>
      </c>
      <c r="B18" s="22"/>
      <c r="C18" s="22"/>
      <c r="D18" s="24" t="n">
        <f aca="false">SUM(E15:E17)/12</f>
        <v>205.34</v>
      </c>
      <c r="E18" s="25" t="n">
        <f aca="false">SUM(E15:E17)</f>
        <v>2464.08</v>
      </c>
      <c r="F18" s="22"/>
    </row>
    <row r="19" customFormat="false" ht="15" hidden="false" customHeight="false" outlineLevel="0" collapsed="false">
      <c r="A19" s="2" t="s">
        <v>135</v>
      </c>
    </row>
    <row r="21" customFormat="false" ht="15" hidden="false" customHeight="false" outlineLevel="0" collapsed="false">
      <c r="A21" s="4" t="s">
        <v>136</v>
      </c>
      <c r="B21" s="5"/>
      <c r="C21" s="5"/>
      <c r="D21" s="5"/>
      <c r="E21" s="5"/>
      <c r="F21" s="5"/>
      <c r="G21" s="5"/>
      <c r="H21" s="5"/>
    </row>
    <row r="22" customFormat="false" ht="30" hidden="false" customHeight="true" outlineLevel="0" collapsed="false">
      <c r="A22" s="6" t="s">
        <v>137</v>
      </c>
      <c r="B22" s="6" t="s">
        <v>138</v>
      </c>
      <c r="C22" s="6" t="s">
        <v>29</v>
      </c>
    </row>
    <row r="23" customFormat="false" ht="39.75" hidden="false" customHeight="true" outlineLevel="0" collapsed="false">
      <c r="A23" s="7" t="s">
        <v>139</v>
      </c>
      <c r="B23" s="16" t="n">
        <v>50665.81</v>
      </c>
      <c r="C23" s="19" t="s">
        <v>140</v>
      </c>
    </row>
    <row r="24" customFormat="false" ht="39.75" hidden="false" customHeight="true" outlineLevel="0" collapsed="false">
      <c r="A24" s="7" t="s">
        <v>141</v>
      </c>
      <c r="B24" s="16" t="n">
        <v>210</v>
      </c>
      <c r="C24" s="19" t="s">
        <v>142</v>
      </c>
    </row>
    <row r="25" customFormat="false" ht="39.75" hidden="false" customHeight="true" outlineLevel="0" collapsed="false">
      <c r="A25" s="7" t="s">
        <v>143</v>
      </c>
      <c r="B25" s="16" t="n">
        <v>1300</v>
      </c>
      <c r="C25" s="19" t="s">
        <v>144</v>
      </c>
    </row>
    <row r="26" customFormat="false" ht="15" hidden="false" customHeight="false" outlineLevel="0" collapsed="false">
      <c r="A26" s="21" t="s">
        <v>145</v>
      </c>
      <c r="B26" s="25" t="n">
        <f aca="false">SUM(B23:B25)</f>
        <v>52175.81</v>
      </c>
      <c r="C26" s="22"/>
    </row>
    <row r="28" customFormat="false" ht="15" hidden="false" customHeight="false" outlineLevel="0" collapsed="false">
      <c r="A28" s="4" t="s">
        <v>146</v>
      </c>
      <c r="B28" s="5"/>
      <c r="C28" s="5"/>
      <c r="D28" s="5"/>
      <c r="E28" s="5"/>
      <c r="F28" s="5"/>
      <c r="G28" s="5"/>
      <c r="H28" s="5"/>
    </row>
    <row r="29" customFormat="false" ht="30" hidden="false" customHeight="true" outlineLevel="0" collapsed="false">
      <c r="A29" s="6" t="s">
        <v>147</v>
      </c>
      <c r="B29" s="6" t="s">
        <v>148</v>
      </c>
      <c r="C29" s="6" t="s">
        <v>149</v>
      </c>
    </row>
    <row r="30" customFormat="false" ht="45.75" hidden="false" customHeight="true" outlineLevel="0" collapsed="false">
      <c r="A30" s="14" t="s">
        <v>150</v>
      </c>
      <c r="B30" s="19" t="s">
        <v>151</v>
      </c>
      <c r="C30" s="19" t="s">
        <v>152</v>
      </c>
    </row>
    <row r="31" customFormat="false" ht="45.75" hidden="false" customHeight="true" outlineLevel="0" collapsed="false">
      <c r="A31" s="14" t="s">
        <v>153</v>
      </c>
      <c r="B31" s="19" t="s">
        <v>154</v>
      </c>
      <c r="C31" s="19" t="s">
        <v>155</v>
      </c>
    </row>
    <row r="32" customFormat="false" ht="45.75" hidden="false" customHeight="true" outlineLevel="0" collapsed="false">
      <c r="A32" s="14" t="s">
        <v>156</v>
      </c>
      <c r="B32" s="19" t="s">
        <v>157</v>
      </c>
      <c r="C32" s="19" t="s">
        <v>158</v>
      </c>
    </row>
    <row r="33" customFormat="false" ht="45.75" hidden="false" customHeight="true" outlineLevel="0" collapsed="false">
      <c r="A33" s="14" t="s">
        <v>159</v>
      </c>
      <c r="B33" s="19" t="s">
        <v>160</v>
      </c>
      <c r="C33" s="19" t="s">
        <v>161</v>
      </c>
    </row>
    <row r="34" customFormat="false" ht="45.75" hidden="false" customHeight="true" outlineLevel="0" collapsed="false">
      <c r="A34" s="14" t="s">
        <v>162</v>
      </c>
      <c r="B34" s="19" t="s">
        <v>163</v>
      </c>
      <c r="C34" s="19" t="s">
        <v>164</v>
      </c>
    </row>
    <row r="35" customFormat="false" ht="45.75" hidden="false" customHeight="true" outlineLevel="0" collapsed="false">
      <c r="A35" s="14" t="s">
        <v>165</v>
      </c>
      <c r="B35" s="19" t="s">
        <v>166</v>
      </c>
      <c r="C35" s="19" t="s">
        <v>167</v>
      </c>
    </row>
    <row r="36" customFormat="false" ht="45.75" hidden="false" customHeight="true" outlineLevel="0" collapsed="false">
      <c r="A36" s="14" t="s">
        <v>116</v>
      </c>
      <c r="B36" s="19" t="s">
        <v>168</v>
      </c>
      <c r="C36" s="19" t="s">
        <v>169</v>
      </c>
    </row>
    <row r="37" customFormat="false" ht="45.75" hidden="false" customHeight="true" outlineLevel="0" collapsed="false">
      <c r="A37" s="14" t="s">
        <v>170</v>
      </c>
      <c r="B37" s="19" t="s">
        <v>171</v>
      </c>
      <c r="C37" s="19" t="s">
        <v>172</v>
      </c>
    </row>
    <row r="38" customFormat="false" ht="45.75" hidden="false" customHeight="true" outlineLevel="0" collapsed="false">
      <c r="A38" s="14" t="s">
        <v>173</v>
      </c>
      <c r="B38" s="19" t="s">
        <v>174</v>
      </c>
      <c r="C38" s="19" t="s">
        <v>175</v>
      </c>
    </row>
  </sheetData>
  <dataValidations count="2">
    <dataValidation allowBlank="false" errorStyle="stop" operator="between" showDropDown="false" showErrorMessage="false" showInputMessage="false" sqref="E8" type="list">
      <formula1>"Yes,No"</formula1>
      <formula2>0</formula2>
    </dataValidation>
    <dataValidation allowBlank="false" errorStyle="stop" operator="between" showDropDown="false" showErrorMessage="false" showInputMessage="false" sqref="B15:B1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8"/>
    <col collapsed="false" customWidth="true" hidden="false" outlineLevel="0" max="5" min="4" style="0" width="62"/>
    <col collapsed="false" customWidth="true" hidden="false" outlineLevel="0" max="6" min="6" style="0" width="18"/>
    <col collapsed="false" customWidth="true" hidden="false" outlineLevel="0" max="8" min="7" style="0" width="15"/>
    <col collapsed="false" customWidth="true" hidden="false" outlineLevel="0" max="10" min="9" style="0" width="18"/>
  </cols>
  <sheetData>
    <row r="1" customFormat="false" ht="18.55" hidden="false" customHeight="false" outlineLevel="0" collapsed="false">
      <c r="A1" s="1" t="s">
        <v>176</v>
      </c>
    </row>
    <row r="2" customFormat="false" ht="15" hidden="false" customHeight="false" outlineLevel="0" collapsed="false">
      <c r="A2" s="2" t="s">
        <v>177</v>
      </c>
    </row>
    <row r="3" customFormat="false" ht="15" hidden="false" customHeight="false" outlineLevel="0" collapsed="false">
      <c r="A3" s="3" t="s">
        <v>178</v>
      </c>
    </row>
    <row r="5" customFormat="false" ht="15" hidden="false" customHeight="false" outlineLevel="0" collapsed="false">
      <c r="A5" s="4" t="s">
        <v>179</v>
      </c>
      <c r="B5" s="5"/>
      <c r="C5" s="5"/>
      <c r="D5" s="5"/>
      <c r="E5" s="5"/>
    </row>
    <row r="6" customFormat="false" ht="30" hidden="false" customHeight="true" outlineLevel="0" collapsed="false">
      <c r="A6" s="6" t="s">
        <v>180</v>
      </c>
      <c r="B6" s="6"/>
      <c r="C6" s="6" t="s">
        <v>181</v>
      </c>
      <c r="D6" s="6" t="s">
        <v>182</v>
      </c>
      <c r="E6" s="6" t="s">
        <v>29</v>
      </c>
    </row>
    <row r="7" customFormat="false" ht="30" hidden="false" customHeight="true" outlineLevel="0" collapsed="false">
      <c r="A7" s="7" t="s">
        <v>183</v>
      </c>
      <c r="B7" s="12"/>
      <c r="C7" s="9" t="n">
        <v>3</v>
      </c>
      <c r="D7" s="51" t="s">
        <v>184</v>
      </c>
      <c r="E7" s="19" t="s">
        <v>185</v>
      </c>
    </row>
    <row r="8" customFormat="false" ht="30" hidden="false" customHeight="true" outlineLevel="0" collapsed="false">
      <c r="A8" s="7" t="s">
        <v>186</v>
      </c>
      <c r="B8" s="12"/>
      <c r="C8" s="54" t="s">
        <v>187</v>
      </c>
      <c r="D8" s="12"/>
      <c r="E8" s="19" t="s">
        <v>188</v>
      </c>
    </row>
    <row r="9" customFormat="false" ht="30" hidden="false" customHeight="true" outlineLevel="0" collapsed="false">
      <c r="A9" s="7" t="s">
        <v>189</v>
      </c>
      <c r="B9" s="12"/>
      <c r="C9" s="53" t="n">
        <v>350000</v>
      </c>
      <c r="D9" s="12"/>
      <c r="E9" s="19" t="s">
        <v>190</v>
      </c>
    </row>
    <row r="10" customFormat="false" ht="30" hidden="false" customHeight="true" outlineLevel="0" collapsed="false">
      <c r="A10" s="7" t="s">
        <v>191</v>
      </c>
      <c r="B10" s="12"/>
      <c r="C10" s="53" t="n">
        <v>24000</v>
      </c>
      <c r="D10" s="12"/>
      <c r="E10" s="19" t="s">
        <v>192</v>
      </c>
    </row>
    <row r="12" customFormat="false" ht="30" hidden="false" customHeight="true" outlineLevel="0" collapsed="false">
      <c r="A12" s="7" t="s">
        <v>193</v>
      </c>
      <c r="B12" s="12"/>
      <c r="C12" s="54" t="s">
        <v>194</v>
      </c>
      <c r="D12" s="12"/>
      <c r="E12" s="19" t="s">
        <v>195</v>
      </c>
    </row>
    <row r="13" customFormat="false" ht="30" hidden="false" customHeight="true" outlineLevel="0" collapsed="false">
      <c r="A13" s="7" t="s">
        <v>196</v>
      </c>
      <c r="B13" s="12"/>
      <c r="C13" s="13" t="n">
        <v>1</v>
      </c>
      <c r="D13" s="13" t="n">
        <v>0.03</v>
      </c>
      <c r="E13" s="19" t="s">
        <v>197</v>
      </c>
    </row>
    <row r="14" customFormat="false" ht="30" hidden="false" customHeight="true" outlineLevel="0" collapsed="false">
      <c r="A14" s="7" t="s">
        <v>198</v>
      </c>
      <c r="B14" s="12"/>
      <c r="C14" s="13" t="n">
        <v>0.5</v>
      </c>
      <c r="D14" s="13" t="n">
        <v>0.02</v>
      </c>
      <c r="E14" s="19" t="s">
        <v>199</v>
      </c>
    </row>
    <row r="15" customFormat="false" ht="30" hidden="false" customHeight="true" outlineLevel="0" collapsed="false">
      <c r="A15" s="7" t="s">
        <v>200</v>
      </c>
      <c r="B15" s="12"/>
      <c r="C15" s="13" t="n">
        <v>0.03</v>
      </c>
      <c r="D15" s="12"/>
      <c r="E15" s="19" t="s">
        <v>201</v>
      </c>
    </row>
    <row r="17" customFormat="false" ht="15" hidden="false" customHeight="false" outlineLevel="0" collapsed="false">
      <c r="A17" s="4" t="s">
        <v>202</v>
      </c>
      <c r="B17" s="5"/>
      <c r="C17" s="5"/>
      <c r="D17" s="5"/>
      <c r="E17" s="5"/>
      <c r="F17" s="5"/>
      <c r="G17" s="5"/>
      <c r="H17" s="5"/>
      <c r="I17" s="5"/>
      <c r="J17" s="5"/>
    </row>
    <row r="18" customFormat="false" ht="39.75" hidden="false" customHeight="true" outlineLevel="0" collapsed="false">
      <c r="A18" s="6" t="s">
        <v>25</v>
      </c>
      <c r="B18" s="6" t="s">
        <v>203</v>
      </c>
      <c r="C18" s="6" t="s">
        <v>204</v>
      </c>
      <c r="D18" s="6" t="s">
        <v>205</v>
      </c>
      <c r="E18" s="6" t="s">
        <v>206</v>
      </c>
      <c r="F18" s="6" t="s">
        <v>207</v>
      </c>
      <c r="G18" s="6" t="s">
        <v>208</v>
      </c>
      <c r="H18" s="6" t="s">
        <v>209</v>
      </c>
      <c r="I18" s="6" t="s">
        <v>210</v>
      </c>
      <c r="J18" s="6" t="s">
        <v>211</v>
      </c>
    </row>
    <row r="19" customFormat="false" ht="15" hidden="false" customHeight="false" outlineLevel="0" collapsed="false">
      <c r="A19" s="7" t="s">
        <v>30</v>
      </c>
      <c r="B19" s="16" t="n">
        <v>186000</v>
      </c>
      <c r="C19" s="18" t="s">
        <v>31</v>
      </c>
      <c r="D19" s="13" t="n">
        <v>0.06</v>
      </c>
      <c r="E19" s="10" t="n">
        <f aca="false">IF($C19&lt;&gt;"Yes",0,MIN(MIN($B19,$C$9)*$D19,$C$10))</f>
        <v>11160</v>
      </c>
      <c r="F19" s="10" t="n">
        <f aca="false">IF($C19&lt;&gt;"Yes",0,IF($C$12="None",0,IF($C$12="Non-elective",$J19,$I19)))</f>
        <v>0</v>
      </c>
      <c r="G19" s="36" t="n">
        <f aca="false">IF($B19=0,0,$F19/$B19)</f>
        <v>0</v>
      </c>
      <c r="H19" s="10" t="n">
        <f aca="false">IF($C19&lt;&gt;"Yes",0,$C$7*4)</f>
        <v>12</v>
      </c>
      <c r="I19" s="55" t="n">
        <f aca="false">IF($C19&lt;&gt;"Yes",0,MIN($B19,$C$9)*($C$13*MIN($D19,$D$13)+$C$14*MIN(MAX($D19-$D$13,0),$D$14)))</f>
        <v>7440</v>
      </c>
      <c r="J19" s="55" t="n">
        <f aca="false">IF($C19&lt;&gt;"Yes",0,MIN($B19,$C$9)*$C$15)</f>
        <v>5580</v>
      </c>
    </row>
    <row r="20" customFormat="false" ht="15" hidden="false" customHeight="false" outlineLevel="0" collapsed="false">
      <c r="A20" s="7" t="s">
        <v>33</v>
      </c>
      <c r="B20" s="16" t="n">
        <v>178094</v>
      </c>
      <c r="C20" s="18" t="s">
        <v>31</v>
      </c>
      <c r="D20" s="13" t="n">
        <v>0.06</v>
      </c>
      <c r="E20" s="10" t="n">
        <f aca="false">IF($C20&lt;&gt;"Yes",0,MIN(MIN($B20,$C$9)*$D20,$C$10))</f>
        <v>10685.64</v>
      </c>
      <c r="F20" s="10" t="n">
        <f aca="false">IF($C20&lt;&gt;"Yes",0,IF($C$12="None",0,IF($C$12="Non-elective",$J20,$I20)))</f>
        <v>0</v>
      </c>
      <c r="G20" s="36" t="n">
        <f aca="false">IF($B20=0,0,$F20/$B20)</f>
        <v>0</v>
      </c>
      <c r="H20" s="10" t="n">
        <f aca="false">IF($C20&lt;&gt;"Yes",0,$C$7*4)</f>
        <v>12</v>
      </c>
      <c r="I20" s="55" t="n">
        <f aca="false">IF($C20&lt;&gt;"Yes",0,MIN($B20,$C$9)*($C$13*MIN($D20,$D$13)+$C$14*MIN(MAX($D20-$D$13,0),$D$14)))</f>
        <v>7123.76</v>
      </c>
      <c r="J20" s="55" t="n">
        <f aca="false">IF($C20&lt;&gt;"Yes",0,MIN($B20,$C$9)*$C$15)</f>
        <v>5342.82</v>
      </c>
    </row>
    <row r="21" customFormat="false" ht="15" hidden="false" customHeight="false" outlineLevel="0" collapsed="false">
      <c r="A21" s="7" t="s">
        <v>34</v>
      </c>
      <c r="B21" s="16" t="n">
        <v>135000</v>
      </c>
      <c r="C21" s="18" t="s">
        <v>31</v>
      </c>
      <c r="D21" s="13" t="n">
        <v>0.06</v>
      </c>
      <c r="E21" s="10" t="n">
        <f aca="false">IF($C21&lt;&gt;"Yes",0,MIN(MIN($B21,$C$9)*$D21,$C$10))</f>
        <v>8100</v>
      </c>
      <c r="F21" s="10" t="n">
        <f aca="false">IF($C21&lt;&gt;"Yes",0,IF($C$12="None",0,IF($C$12="Non-elective",$J21,$I21)))</f>
        <v>0</v>
      </c>
      <c r="G21" s="36" t="n">
        <f aca="false">IF($B21=0,0,$F21/$B21)</f>
        <v>0</v>
      </c>
      <c r="H21" s="10" t="n">
        <f aca="false">IF($C21&lt;&gt;"Yes",0,$C$7*4)</f>
        <v>12</v>
      </c>
      <c r="I21" s="55" t="n">
        <f aca="false">IF($C21&lt;&gt;"Yes",0,MIN($B21,$C$9)*($C$13*MIN($D21,$D$13)+$C$14*MIN(MAX($D21-$D$13,0),$D$14)))</f>
        <v>5400</v>
      </c>
      <c r="J21" s="55" t="n">
        <f aca="false">IF($C21&lt;&gt;"Yes",0,MIN($B21,$C$9)*$C$15)</f>
        <v>4050</v>
      </c>
    </row>
    <row r="22" customFormat="false" ht="15" hidden="false" customHeight="false" outlineLevel="0" collapsed="false">
      <c r="A22" s="7" t="s">
        <v>36</v>
      </c>
      <c r="B22" s="16" t="n">
        <v>79228</v>
      </c>
      <c r="C22" s="18" t="s">
        <v>31</v>
      </c>
      <c r="D22" s="13" t="n">
        <v>0.06</v>
      </c>
      <c r="E22" s="10" t="n">
        <f aca="false">IF($C22&lt;&gt;"Yes",0,MIN(MIN($B22,$C$9)*$D22,$C$10))</f>
        <v>4753.68</v>
      </c>
      <c r="F22" s="10" t="n">
        <f aca="false">IF($C22&lt;&gt;"Yes",0,IF($C$12="None",0,IF($C$12="Non-elective",$J22,$I22)))</f>
        <v>0</v>
      </c>
      <c r="G22" s="36" t="n">
        <f aca="false">IF($B22=0,0,$F22/$B22)</f>
        <v>0</v>
      </c>
      <c r="H22" s="10" t="n">
        <f aca="false">IF($C22&lt;&gt;"Yes",0,$C$7*4)</f>
        <v>12</v>
      </c>
      <c r="I22" s="55" t="n">
        <f aca="false">IF($C22&lt;&gt;"Yes",0,MIN($B22,$C$9)*($C$13*MIN($D22,$D$13)+$C$14*MIN(MAX($D22-$D$13,0),$D$14)))</f>
        <v>3169.12</v>
      </c>
      <c r="J22" s="55" t="n">
        <f aca="false">IF($C22&lt;&gt;"Yes",0,MIN($B22,$C$9)*$C$15)</f>
        <v>2376.84</v>
      </c>
    </row>
    <row r="23" customFormat="false" ht="15" hidden="false" customHeight="false" outlineLevel="0" collapsed="false">
      <c r="A23" s="7" t="s">
        <v>38</v>
      </c>
      <c r="B23" s="16" t="n">
        <v>80000</v>
      </c>
      <c r="C23" s="18" t="s">
        <v>31</v>
      </c>
      <c r="D23" s="13" t="n">
        <v>0.06</v>
      </c>
      <c r="E23" s="10" t="n">
        <f aca="false">IF($C23&lt;&gt;"Yes",0,MIN(MIN($B23,$C$9)*$D23,$C$10))</f>
        <v>4800</v>
      </c>
      <c r="F23" s="10" t="n">
        <f aca="false">IF($C23&lt;&gt;"Yes",0,IF($C$12="None",0,IF($C$12="Non-elective",$J23,$I23)))</f>
        <v>0</v>
      </c>
      <c r="G23" s="36" t="n">
        <f aca="false">IF($B23=0,0,$F23/$B23)</f>
        <v>0</v>
      </c>
      <c r="H23" s="10" t="n">
        <f aca="false">IF($C23&lt;&gt;"Yes",0,$C$7*4)</f>
        <v>12</v>
      </c>
      <c r="I23" s="55" t="n">
        <f aca="false">IF($C23&lt;&gt;"Yes",0,MIN($B23,$C$9)*($C$13*MIN($D23,$D$13)+$C$14*MIN(MAX($D23-$D$13,0),$D$14)))</f>
        <v>3200</v>
      </c>
      <c r="J23" s="55" t="n">
        <f aca="false">IF($C23&lt;&gt;"Yes",0,MIN($B23,$C$9)*$C$15)</f>
        <v>2400</v>
      </c>
    </row>
    <row r="24" customFormat="false" ht="15" hidden="false" customHeight="false" outlineLevel="0" collapsed="false">
      <c r="A24" s="21" t="s">
        <v>45</v>
      </c>
      <c r="B24" s="25" t="n">
        <f aca="false">SUM(B19:B23)</f>
        <v>658322</v>
      </c>
      <c r="C24" s="23" t="str">
        <f aca="false">COUNTIF(C19:C23,"Yes")&amp;" in"</f>
        <v>5 in</v>
      </c>
      <c r="D24" s="22"/>
      <c r="E24" s="25" t="n">
        <f aca="false">SUM(E19:E23)</f>
        <v>39499.32</v>
      </c>
      <c r="F24" s="25" t="n">
        <f aca="false">SUM(F19:F23)</f>
        <v>0</v>
      </c>
      <c r="G24" s="56" t="n">
        <f aca="false">IF(B24=0,0,F24/B24)</f>
        <v>0</v>
      </c>
      <c r="H24" s="25" t="n">
        <f aca="false">SUM(H19:H23)</f>
        <v>60</v>
      </c>
      <c r="I24" s="25" t="n">
        <f aca="false">SUM(I19:I23)</f>
        <v>26332.88</v>
      </c>
      <c r="J24" s="25" t="n">
        <f aca="false">SUM(J19:J23)</f>
        <v>19749.66</v>
      </c>
    </row>
    <row r="25" customFormat="false" ht="15" hidden="false" customHeight="false" outlineLevel="0" collapsed="false">
      <c r="A25" s="2" t="s">
        <v>212</v>
      </c>
    </row>
    <row r="27" customFormat="false" ht="15" hidden="false" customHeight="false" outlineLevel="0" collapsed="false">
      <c r="A27" s="4" t="s">
        <v>213</v>
      </c>
      <c r="B27" s="5"/>
      <c r="C27" s="5"/>
      <c r="D27" s="5"/>
      <c r="E27" s="5"/>
      <c r="F27" s="5"/>
    </row>
    <row r="28" customFormat="false" ht="30" hidden="false" customHeight="true" outlineLevel="0" collapsed="false">
      <c r="A28" s="6" t="s">
        <v>214</v>
      </c>
      <c r="B28" s="6" t="s">
        <v>215</v>
      </c>
      <c r="C28" s="6" t="s">
        <v>216</v>
      </c>
      <c r="D28" s="6" t="s">
        <v>217</v>
      </c>
    </row>
    <row r="29" customFormat="false" ht="39.75" hidden="false" customHeight="true" outlineLevel="0" collapsed="false">
      <c r="A29" s="14" t="s">
        <v>218</v>
      </c>
      <c r="B29" s="38" t="n">
        <v>0</v>
      </c>
      <c r="C29" s="20" t="n">
        <f aca="false">B29/12</f>
        <v>0</v>
      </c>
      <c r="D29" s="19" t="s">
        <v>219</v>
      </c>
    </row>
    <row r="30" customFormat="false" ht="39.75" hidden="false" customHeight="true" outlineLevel="0" collapsed="false">
      <c r="A30" s="7" t="s">
        <v>220</v>
      </c>
      <c r="B30" s="38" t="n">
        <f aca="false">I24</f>
        <v>26332.88</v>
      </c>
      <c r="C30" s="20" t="n">
        <f aca="false">B30/12</f>
        <v>2194.40666666667</v>
      </c>
      <c r="D30" s="19" t="s">
        <v>221</v>
      </c>
    </row>
    <row r="31" customFormat="false" ht="39.75" hidden="false" customHeight="true" outlineLevel="0" collapsed="false">
      <c r="A31" s="7" t="s">
        <v>222</v>
      </c>
      <c r="B31" s="38" t="n">
        <f aca="false">J24</f>
        <v>19749.66</v>
      </c>
      <c r="C31" s="20" t="n">
        <f aca="false">B31/12</f>
        <v>1645.805</v>
      </c>
      <c r="D31" s="19" t="s">
        <v>223</v>
      </c>
    </row>
    <row r="33" customFormat="false" ht="15" hidden="false" customHeight="false" outlineLevel="0" collapsed="false">
      <c r="A33" s="4" t="s">
        <v>224</v>
      </c>
      <c r="B33" s="5"/>
      <c r="C33" s="5"/>
      <c r="D33" s="5"/>
      <c r="E33" s="5"/>
    </row>
    <row r="34" customFormat="false" ht="30" hidden="false" customHeight="true" outlineLevel="0" collapsed="false">
      <c r="A34" s="6" t="s">
        <v>225</v>
      </c>
      <c r="B34" s="6" t="s">
        <v>107</v>
      </c>
      <c r="C34" s="6" t="s">
        <v>108</v>
      </c>
      <c r="D34" s="6" t="s">
        <v>29</v>
      </c>
    </row>
    <row r="35" customFormat="false" ht="33.75" hidden="false" customHeight="true" outlineLevel="0" collapsed="false">
      <c r="A35" s="7" t="s">
        <v>226</v>
      </c>
      <c r="B35" s="20" t="n">
        <f aca="false">C35/12</f>
        <v>0</v>
      </c>
      <c r="C35" s="10" t="n">
        <f aca="false">F24</f>
        <v>0</v>
      </c>
      <c r="D35" s="19" t="s">
        <v>227</v>
      </c>
    </row>
    <row r="36" customFormat="false" ht="33.75" hidden="false" customHeight="true" outlineLevel="0" collapsed="false">
      <c r="A36" s="7" t="s">
        <v>228</v>
      </c>
      <c r="B36" s="20" t="n">
        <f aca="false">C36/12</f>
        <v>0</v>
      </c>
      <c r="C36" s="10" t="n">
        <f aca="false">IF($C$8="Employer",H24,0)</f>
        <v>0</v>
      </c>
      <c r="D36" s="19" t="s">
        <v>229</v>
      </c>
    </row>
    <row r="37" customFormat="false" ht="15" hidden="false" customHeight="false" outlineLevel="0" collapsed="false">
      <c r="A37" s="21" t="s">
        <v>230</v>
      </c>
      <c r="B37" s="24" t="n">
        <f aca="false">SUM(B35:B36)</f>
        <v>0</v>
      </c>
      <c r="C37" s="25" t="n">
        <f aca="false">SUM(C35:C36)</f>
        <v>0</v>
      </c>
      <c r="D37" s="22"/>
    </row>
    <row r="39" customFormat="false" ht="15" hidden="false" customHeight="false" outlineLevel="0" collapsed="false">
      <c r="A39" s="4" t="s">
        <v>231</v>
      </c>
      <c r="B39" s="5"/>
      <c r="C39" s="5"/>
      <c r="D39" s="5"/>
      <c r="E39" s="5"/>
    </row>
    <row r="40" customFormat="false" ht="31.5" hidden="false" customHeight="true" outlineLevel="0" collapsed="false">
      <c r="A40" s="57" t="s">
        <v>232</v>
      </c>
    </row>
    <row r="41" customFormat="false" ht="31.5" hidden="false" customHeight="true" outlineLevel="0" collapsed="false">
      <c r="A41" s="57" t="s">
        <v>233</v>
      </c>
    </row>
    <row r="42" customFormat="false" ht="31.5" hidden="false" customHeight="true" outlineLevel="0" collapsed="false">
      <c r="A42" s="57" t="s">
        <v>234</v>
      </c>
    </row>
    <row r="43" customFormat="false" ht="31.5" hidden="false" customHeight="true" outlineLevel="0" collapsed="false">
      <c r="A43" s="57" t="s">
        <v>235</v>
      </c>
    </row>
    <row r="44" customFormat="false" ht="31.5" hidden="false" customHeight="true" outlineLevel="0" collapsed="false">
      <c r="A44" s="57" t="s">
        <v>236</v>
      </c>
    </row>
    <row r="45" customFormat="false" ht="31.5" hidden="false" customHeight="true" outlineLevel="0" collapsed="false">
      <c r="A45" s="57" t="s">
        <v>237</v>
      </c>
    </row>
    <row r="46" customFormat="false" ht="31.5" hidden="false" customHeight="true" outlineLevel="0" collapsed="false">
      <c r="A46" s="57" t="s">
        <v>238</v>
      </c>
    </row>
  </sheetData>
  <dataValidations count="3">
    <dataValidation allowBlank="false" errorStyle="stop" operator="between" showDropDown="false" showErrorMessage="false" showInputMessage="false" sqref="C8" type="list">
      <formula1>"Participant,Employer"</formula1>
      <formula2>0</formula2>
    </dataValidation>
    <dataValidation allowBlank="false" errorStyle="stop" operator="between" showDropDown="false" showErrorMessage="false" showInputMessage="false" sqref="C12" type="list">
      <formula1>"None,Tiered match,Non-elective"</formula1>
      <formula2>0</formula2>
    </dataValidation>
    <dataValidation allowBlank="false" errorStyle="stop" operator="between" showDropDown="false" showErrorMessage="false" showInputMessage="false" sqref="C19:C2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5" min="2" style="0" width="18"/>
    <col collapsed="false" customWidth="true" hidden="false" outlineLevel="0" max="6" min="6" style="0" width="20"/>
    <col collapsed="false" customWidth="true" hidden="false" outlineLevel="0" max="7" min="7" style="0" width="22"/>
  </cols>
  <sheetData>
    <row r="1" customFormat="false" ht="18.55" hidden="false" customHeight="false" outlineLevel="0" collapsed="false">
      <c r="A1" s="1" t="s">
        <v>239</v>
      </c>
    </row>
    <row r="2" customFormat="false" ht="15" hidden="false" customHeight="false" outlineLevel="0" collapsed="false">
      <c r="A2" s="2" t="s">
        <v>240</v>
      </c>
    </row>
    <row r="4" customFormat="false" ht="15" hidden="false" customHeight="false" outlineLevel="0" collapsed="false">
      <c r="A4" s="14" t="s">
        <v>241</v>
      </c>
      <c r="B4" s="12"/>
      <c r="C4" s="54" t="s">
        <v>59</v>
      </c>
    </row>
    <row r="6" customFormat="false" ht="15" hidden="false" customHeight="false" outlineLevel="0" collapsed="false">
      <c r="A6" s="4" t="s">
        <v>242</v>
      </c>
      <c r="B6" s="5"/>
      <c r="C6" s="5"/>
      <c r="D6" s="5"/>
      <c r="E6" s="5"/>
      <c r="F6" s="5"/>
    </row>
    <row r="7" customFormat="false" ht="30" hidden="false" customHeight="true" outlineLevel="0" collapsed="false">
      <c r="A7" s="6" t="s">
        <v>102</v>
      </c>
      <c r="B7" s="6" t="s">
        <v>243</v>
      </c>
      <c r="C7" s="6" t="s">
        <v>107</v>
      </c>
      <c r="D7" s="6" t="s">
        <v>108</v>
      </c>
      <c r="E7" s="6" t="s">
        <v>29</v>
      </c>
    </row>
    <row r="8" customFormat="false" ht="27.75" hidden="false" customHeight="true" outlineLevel="0" collapsed="false">
      <c r="A8" s="7" t="s">
        <v>244</v>
      </c>
      <c r="B8" s="51" t="s">
        <v>245</v>
      </c>
      <c r="C8" s="20" t="n">
        <f aca="false">SUMIFS('Cost by Tier'!$K$5:$K$16,'Cost by Tier'!$A$5:$A$16,$C$4)/12</f>
        <v>2900</v>
      </c>
      <c r="D8" s="10" t="n">
        <f aca="false">SUMIFS('Cost by Tier'!$K$5:$K$16,'Cost by Tier'!$A$5:$A$16,$C$4)</f>
        <v>34800</v>
      </c>
      <c r="E8" s="19" t="s">
        <v>246</v>
      </c>
    </row>
    <row r="9" customFormat="false" ht="27.75" hidden="false" customHeight="true" outlineLevel="0" collapsed="false">
      <c r="A9" s="7" t="s">
        <v>109</v>
      </c>
      <c r="B9" s="51" t="s">
        <v>247</v>
      </c>
      <c r="C9" s="20" t="n">
        <f aca="false">Questco!F6</f>
        <v>585</v>
      </c>
      <c r="D9" s="10" t="n">
        <f aca="false">Questco!G6</f>
        <v>7020</v>
      </c>
      <c r="E9" s="19" t="s">
        <v>248</v>
      </c>
    </row>
    <row r="10" customFormat="false" ht="27.75" hidden="false" customHeight="true" outlineLevel="0" collapsed="false">
      <c r="A10" s="7" t="s">
        <v>249</v>
      </c>
      <c r="B10" s="51" t="s">
        <v>247</v>
      </c>
      <c r="C10" s="20" t="n">
        <f aca="false">Questco!F7</f>
        <v>116.844166666667</v>
      </c>
      <c r="D10" s="10" t="n">
        <f aca="false">Questco!G7</f>
        <v>1402.13</v>
      </c>
      <c r="E10" s="19" t="s">
        <v>250</v>
      </c>
    </row>
    <row r="11" customFormat="false" ht="27.75" hidden="false" customHeight="true" outlineLevel="0" collapsed="false">
      <c r="A11" s="7" t="s">
        <v>116</v>
      </c>
      <c r="B11" s="51" t="s">
        <v>247</v>
      </c>
      <c r="C11" s="20" t="n">
        <f aca="false">Questco!F8</f>
        <v>0</v>
      </c>
      <c r="D11" s="10" t="n">
        <f aca="false">Questco!G8</f>
        <v>0</v>
      </c>
      <c r="E11" s="19" t="s">
        <v>251</v>
      </c>
    </row>
    <row r="12" customFormat="false" ht="27.75" hidden="false" customHeight="true" outlineLevel="0" collapsed="false">
      <c r="A12" s="7" t="s">
        <v>252</v>
      </c>
      <c r="B12" s="51" t="s">
        <v>247</v>
      </c>
      <c r="C12" s="20" t="n">
        <f aca="false">Questco!D18</f>
        <v>205.34</v>
      </c>
      <c r="D12" s="10" t="n">
        <f aca="false">Questco!E18</f>
        <v>2464.08</v>
      </c>
      <c r="E12" s="19" t="s">
        <v>253</v>
      </c>
    </row>
    <row r="13" customFormat="false" ht="27.75" hidden="false" customHeight="true" outlineLevel="0" collapsed="false">
      <c r="A13" s="7" t="s">
        <v>254</v>
      </c>
      <c r="B13" s="51" t="s">
        <v>247</v>
      </c>
      <c r="C13" s="20" t="n">
        <f aca="false">'401(k)'!B37</f>
        <v>0</v>
      </c>
      <c r="D13" s="10" t="n">
        <f aca="false">'401(k)'!C37</f>
        <v>0</v>
      </c>
      <c r="E13" s="19" t="s">
        <v>255</v>
      </c>
    </row>
    <row r="14" customFormat="false" ht="15" hidden="false" customHeight="false" outlineLevel="0" collapsed="false">
      <c r="A14" s="21" t="s">
        <v>256</v>
      </c>
      <c r="B14" s="22"/>
      <c r="C14" s="24" t="n">
        <f aca="false">SUM(C8:C13)</f>
        <v>3807.18416666667</v>
      </c>
      <c r="D14" s="25" t="n">
        <f aca="false">SUM(D8:D13)</f>
        <v>45686.21</v>
      </c>
      <c r="E14" s="22"/>
    </row>
    <row r="15" customFormat="false" ht="15" hidden="false" customHeight="false" outlineLevel="0" collapsed="false">
      <c r="A15" s="7" t="s">
        <v>257</v>
      </c>
      <c r="B15" s="51" t="s">
        <v>247</v>
      </c>
      <c r="C15" s="12"/>
      <c r="D15" s="10" t="n">
        <f aca="false">Questco!G10</f>
        <v>1000</v>
      </c>
      <c r="E15" s="12"/>
    </row>
    <row r="16" customFormat="false" ht="15" hidden="false" customHeight="false" outlineLevel="0" collapsed="false">
      <c r="A16" s="21" t="s">
        <v>258</v>
      </c>
      <c r="B16" s="22"/>
      <c r="C16" s="22"/>
      <c r="D16" s="25" t="n">
        <f aca="false">D14+D15</f>
        <v>46686.21</v>
      </c>
      <c r="E16" s="22"/>
    </row>
    <row r="17" customFormat="false" ht="15" hidden="false" customHeight="false" outlineLevel="0" collapsed="false">
      <c r="A17" s="58" t="s">
        <v>259</v>
      </c>
    </row>
    <row r="18" customFormat="false" ht="15" hidden="false" customHeight="false" outlineLevel="0" collapsed="false">
      <c r="A18" s="2" t="s">
        <v>260</v>
      </c>
    </row>
    <row r="20" customFormat="false" ht="15" hidden="false" customHeight="false" outlineLevel="0" collapsed="false">
      <c r="A20" s="4" t="s">
        <v>261</v>
      </c>
      <c r="B20" s="5"/>
      <c r="C20" s="5"/>
      <c r="D20" s="5"/>
      <c r="E20" s="5"/>
      <c r="F20" s="5"/>
    </row>
    <row r="21" customFormat="false" ht="30" hidden="false" customHeight="true" outlineLevel="0" collapsed="false">
      <c r="A21" s="6" t="s">
        <v>225</v>
      </c>
      <c r="B21" s="6" t="s">
        <v>107</v>
      </c>
      <c r="C21" s="6" t="s">
        <v>108</v>
      </c>
      <c r="D21" s="6" t="s">
        <v>29</v>
      </c>
    </row>
    <row r="22" customFormat="false" ht="27.75" hidden="false" customHeight="true" outlineLevel="0" collapsed="false">
      <c r="A22" s="7" t="s">
        <v>262</v>
      </c>
      <c r="B22" s="20" t="n">
        <f aca="false">SUMIFS('Cost by Tier'!$P$5:$P$16,'Cost by Tier'!$A$5:$A$16,$C$4)/12</f>
        <v>1183</v>
      </c>
      <c r="C22" s="10" t="n">
        <f aca="false">SUMIFS('Cost by Tier'!$P$5:$P$16,'Cost by Tier'!$A$5:$A$16,$C$4)</f>
        <v>14196</v>
      </c>
      <c r="D22" s="19" t="s">
        <v>263</v>
      </c>
    </row>
    <row r="23" customFormat="false" ht="27.75" hidden="false" customHeight="true" outlineLevel="0" collapsed="false">
      <c r="A23" s="7" t="s">
        <v>264</v>
      </c>
      <c r="B23" s="20" t="n">
        <f aca="false">'401(k)'!E24/12</f>
        <v>3291.61</v>
      </c>
      <c r="C23" s="10" t="n">
        <f aca="false">'401(k)'!E24</f>
        <v>39499.32</v>
      </c>
      <c r="D23" s="19" t="s">
        <v>265</v>
      </c>
    </row>
    <row r="24" customFormat="false" ht="27.75" hidden="false" customHeight="true" outlineLevel="0" collapsed="false">
      <c r="A24" s="7" t="s">
        <v>266</v>
      </c>
      <c r="B24" s="20" t="n">
        <f aca="false">IF('401(k)'!$C$8="Employer",0,'401(k)'!H24/12)</f>
        <v>5</v>
      </c>
      <c r="C24" s="10" t="n">
        <f aca="false">IF('401(k)'!$C$8="Employer",0,'401(k)'!H24)</f>
        <v>60</v>
      </c>
      <c r="D24" s="19" t="s">
        <v>267</v>
      </c>
    </row>
    <row r="25" customFormat="false" ht="27.75" hidden="false" customHeight="true" outlineLevel="0" collapsed="false">
      <c r="A25" s="14" t="s">
        <v>268</v>
      </c>
      <c r="B25" s="20" t="n">
        <f aca="false">C8+B22</f>
        <v>4083</v>
      </c>
      <c r="C25" s="38" t="n">
        <f aca="false">D8+C22</f>
        <v>48996</v>
      </c>
      <c r="D25" s="19" t="s">
        <v>269</v>
      </c>
    </row>
    <row r="26" customFormat="false" ht="27.75" hidden="false" customHeight="true" outlineLevel="0" collapsed="false">
      <c r="A26" s="14" t="s">
        <v>270</v>
      </c>
      <c r="B26" s="20" t="n">
        <f aca="false">C14+B22+B24</f>
        <v>4995.18416666667</v>
      </c>
      <c r="C26" s="38" t="n">
        <f aca="false">D14+C22+C24</f>
        <v>59942.21</v>
      </c>
      <c r="D26" s="19" t="s">
        <v>271</v>
      </c>
    </row>
    <row r="27" customFormat="false" ht="27.75" hidden="false" customHeight="true" outlineLevel="0" collapsed="false">
      <c r="A27" s="14" t="s">
        <v>272</v>
      </c>
      <c r="B27" s="12"/>
      <c r="C27" s="38" t="n">
        <f aca="false">D14+SUMPRODUCT(('Cost by Tier'!$A$5:$A$16=$C$4)*'Cost by Tier'!$O$5:$O$16*'Cost by Tier'!$D$5:$D$16)</f>
        <v>94882.21</v>
      </c>
      <c r="D27" s="19" t="s">
        <v>273</v>
      </c>
    </row>
    <row r="29" customFormat="false" ht="15" hidden="false" customHeight="false" outlineLevel="0" collapsed="false">
      <c r="A29" s="4" t="s">
        <v>274</v>
      </c>
      <c r="B29" s="5"/>
      <c r="C29" s="5"/>
      <c r="D29" s="5"/>
      <c r="E29" s="5"/>
      <c r="F29" s="5"/>
      <c r="G29" s="5"/>
    </row>
    <row r="30" customFormat="false" ht="30" hidden="false" customHeight="true" outlineLevel="0" collapsed="false">
      <c r="A30" s="6" t="s">
        <v>275</v>
      </c>
      <c r="B30" s="6" t="s">
        <v>49</v>
      </c>
      <c r="C30" s="6" t="s">
        <v>276</v>
      </c>
      <c r="D30" s="6" t="s">
        <v>277</v>
      </c>
      <c r="E30" s="6" t="s">
        <v>278</v>
      </c>
      <c r="F30" s="6" t="s">
        <v>279</v>
      </c>
      <c r="G30" s="6" t="s">
        <v>280</v>
      </c>
    </row>
    <row r="31" customFormat="false" ht="15" hidden="false" customHeight="false" outlineLevel="0" collapsed="false">
      <c r="A31" s="7" t="s">
        <v>59</v>
      </c>
      <c r="B31" s="8" t="s">
        <v>60</v>
      </c>
      <c r="C31" s="10" t="n">
        <f aca="false">SUMIFS('Cost by Tier'!$K$5:$K$16,'Cost by Tier'!$A$5:$A$16,$A31)</f>
        <v>34800</v>
      </c>
      <c r="D31" s="38" t="n">
        <f aca="false">C31+Questco!$G$6+Questco!$G$7+Questco!$G$8+Questco!$E$18+'401(k)'!$C$37</f>
        <v>45686.21</v>
      </c>
      <c r="E31" s="10" t="n">
        <f aca="false">SUMIFS('Cost by Tier'!$P$5:$P$16,'Cost by Tier'!$A$5:$A$16,$A31)</f>
        <v>14196</v>
      </c>
      <c r="F31" s="10" t="n">
        <f aca="false">D31+E31+IF('401(k)'!$C$8="Employer",0,'401(k)'!H24)</f>
        <v>59942.21</v>
      </c>
      <c r="G31" s="10" t="n">
        <f aca="false">D31+SUMPRODUCT(('Cost by Tier'!$A$5:$A$16=$A31)*'Cost by Tier'!$O$5:$O$16*'Cost by Tier'!$D$5:$D$16)</f>
        <v>94882.21</v>
      </c>
    </row>
    <row r="32" customFormat="false" ht="15" hidden="false" customHeight="false" outlineLevel="0" collapsed="false">
      <c r="A32" s="39" t="s">
        <v>64</v>
      </c>
      <c r="B32" s="40" t="s">
        <v>65</v>
      </c>
      <c r="C32" s="44" t="n">
        <f aca="false">SUMIFS('Cost by Tier'!$K$5:$K$16,'Cost by Tier'!$A$5:$A$16,$A32)</f>
        <v>34800</v>
      </c>
      <c r="D32" s="46" t="n">
        <f aca="false">C32+Questco!$G$6+Questco!$G$7+Questco!$G$8+Questco!$E$18+'401(k)'!$C$37</f>
        <v>45686.21</v>
      </c>
      <c r="E32" s="44" t="n">
        <f aca="false">SUMIFS('Cost by Tier'!$P$5:$P$16,'Cost by Tier'!$A$5:$A$16,$A32)</f>
        <v>20119.44</v>
      </c>
      <c r="F32" s="44" t="n">
        <f aca="false">D32+E32+IF('401(k)'!$C$8="Employer",0,'401(k)'!H24)</f>
        <v>65865.65</v>
      </c>
      <c r="G32" s="44" t="n">
        <f aca="false">D32+SUMPRODUCT(('Cost by Tier'!$A$5:$A$16=$A32)*'Cost by Tier'!$O$5:$O$16*'Cost by Tier'!$D$5:$D$16)</f>
        <v>93805.65</v>
      </c>
    </row>
    <row r="33" customFormat="false" ht="15" hidden="false" customHeight="false" outlineLevel="0" collapsed="false">
      <c r="A33" s="7" t="s">
        <v>71</v>
      </c>
      <c r="B33" s="8" t="s">
        <v>65</v>
      </c>
      <c r="C33" s="10" t="n">
        <f aca="false">SUMIFS('Cost by Tier'!$K$5:$K$16,'Cost by Tier'!$A$5:$A$16,$A33)</f>
        <v>34800</v>
      </c>
      <c r="D33" s="38" t="n">
        <f aca="false">C33+Questco!$G$6+Questco!$G$7+Questco!$G$8+Questco!$E$18+'401(k)'!$C$37</f>
        <v>45686.21</v>
      </c>
      <c r="E33" s="10" t="n">
        <f aca="false">SUMIFS('Cost by Tier'!$P$5:$P$16,'Cost by Tier'!$A$5:$A$16,$A33)</f>
        <v>26170.08</v>
      </c>
      <c r="F33" s="10" t="n">
        <f aca="false">D33+E33+IF('401(k)'!$C$8="Employer",0,'401(k)'!H24)</f>
        <v>71916.29</v>
      </c>
      <c r="G33" s="10" t="n">
        <f aca="false">D33+SUMPRODUCT(('Cost by Tier'!$A$5:$A$16=$A33)*'Cost by Tier'!$O$5:$O$16*'Cost by Tier'!$D$5:$D$16)</f>
        <v>85856.29</v>
      </c>
    </row>
    <row r="35" customFormat="false" ht="15" hidden="false" customHeight="false" outlineLevel="0" collapsed="false">
      <c r="A35" s="2" t="s">
        <v>281</v>
      </c>
    </row>
    <row r="36" customFormat="false" ht="15" hidden="false" customHeight="false" outlineLevel="0" collapsed="false">
      <c r="A36" s="2" t="s">
        <v>282</v>
      </c>
    </row>
  </sheetData>
  <dataValidations count="1">
    <dataValidation allowBlank="false" errorStyle="stop" operator="between" showDropDown="false" showErrorMessage="false" showInputMessage="false" sqref="C4" type="list">
      <formula1>"ANG HDHP 3400/5000,ANG TRAD 2000/4000,ANG TRAD 1000/2000"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2026-09-17T18:29:13Z</dcterms:created>
  <dc:creator>openpyxl</dc:creator>
  <dc:description/>
  <dc:language>en-US</dc:language>
  <cp:lastModifiedBy/>
  <dcterms:modified xsi:type="dcterms:W3CDTF">2026-09-17T18:29:13Z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